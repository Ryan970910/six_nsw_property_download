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91bf7999694f0d" /></Relationships>
</file>

<file path=xl/workbook.xml><?xml version="1.0" encoding="utf-8"?>
<x:workbook xmlns:x="http://schemas.openxmlformats.org/spreadsheetml/2006/main">
  <x:sheets>
    <x:sheet xmlns:r="http://schemas.openxmlformats.org/officeDocument/2006/relationships" name="Overview" sheetId="1" r:id="R460b2ed965954a7b"/>
    <x:sheet xmlns:r="http://schemas.openxmlformats.org/officeDocument/2006/relationships" name="Address Columns" sheetId="2" r:id="Ra3f31078e1c641e8"/>
    <x:sheet xmlns:r="http://schemas.openxmlformats.org/officeDocument/2006/relationships" name="Unit Columns" sheetId="3" r:id="R732b236fc4dd4bed"/>
    <x:sheet xmlns:r="http://schemas.openxmlformats.org/officeDocument/2006/relationships" name="PropID Map Columns" sheetId="4" r:id="R8950096f146d4d00"/>
    <x:sheet xmlns:r="http://schemas.openxmlformats.org/officeDocument/2006/relationships" name="Relationships" sheetId="5" r:id="R6135a275d2664fc3"/>
    <x:sheet xmlns:r="http://schemas.openxmlformats.org/officeDocument/2006/relationships" name="Normalization" sheetId="6" r:id="R71c358f0aeba4a34"/>
    <x:sheet xmlns:r="http://schemas.openxmlformats.org/officeDocument/2006/relationships" name="Examples" sheetId="7" r:id="R49541f5b5a3f46ab"/>
    <x:sheet xmlns:r="http://schemas.openxmlformats.org/officeDocument/2006/relationships" name="Indexes" sheetId="8" r:id="Re704a8ca49ee43e3"/>
    <x:sheet xmlns:r="http://schemas.openxmlformats.org/officeDocument/2006/relationships" name="SQL Usage" sheetId="9" r:id="Rbc008e095ce54e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8">
    <x:font>
      <x:sz val="11"/>
      <x:name val="Carlito"/>
    </x:font>
    <x:font>
      <x:b/>
      <x:sz val="20"/>
      <x:color rgb="FFFFFFFF"/>
      <x:name val="Aptos Display"/>
    </x:font>
    <x:font>
      <x:sz val="10"/>
      <x:color rgb="FF596779"/>
      <x:name val="Aptos"/>
    </x:font>
    <x:font>
      <x:b/>
      <x:sz val="11"/>
      <x:color rgb="FFFFFFFF"/>
      <x:name val="Carlito"/>
    </x:font>
    <x:font>
      <x:sz val="10"/>
      <x:color rgb="FF1F2937"/>
      <x:name val="Aptos"/>
    </x:font>
    <x:font>
      <x:b/>
      <x:sz val="11"/>
      <x:color rgb="FF1F2937"/>
      <x:name val="Carlito"/>
    </x:font>
    <x:font>
      <x:b/>
      <x:sz val="18"/>
      <x:color rgb="FFFFFFFF"/>
      <x:name val="Aptos Display"/>
    </x:font>
    <x:font>
      <x:b/>
      <x:sz val="10"/>
      <x:color rgb="FFFFFFFF"/>
      <x:name val="Aptos"/>
    </x:font>
  </x:fonts>
  <x:fills count="8">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2F75B5"/>
      </x:patternFill>
    </x:fill>
    <x:fill>
      <x:patternFill patternType="solid">
        <x:fgColor rgb="FFE2F0D9"/>
      </x:patternFill>
    </x:fill>
    <x:fill>
      <x:patternFill patternType="solid">
        <x:fgColor rgb="FFF3FAF7"/>
      </x:patternFill>
    </x:fill>
    <x:fill>
      <x:patternFill patternType="solid">
        <x:fgColor rgb="FF16827A"/>
      </x:patternFill>
    </x:fill>
  </x:fills>
  <x:borders count="4">
    <x:border/>
    <x:border>
      <x:bottom style="thin">
        <x:color rgb="FFCAD3DC"/>
      </x:bottom>
    </x:border>
    <x:border>
      <x:top style="thin">
        <x:color rgb="FFCAD3DC"/>
      </x:top>
      <x:bottom style="thin">
        <x:color rgb="FFCAD3DC"/>
      </x:bottom>
    </x:border>
    <x:border>
      <x:top style="thin">
        <x:color rgb="FFCAD3DC"/>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201" fontId="0" fillId="0"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201" fontId="4" fillId="0" borderId="0" xfId="0" applyNumberFormat="1" applyFont="1" applyFill="1" applyBorder="1"/>
    <x:xf numFmtId="201" fontId="4" fillId="0" borderId="1" xfId="0" applyNumberFormat="1" applyFont="1" applyFill="1" applyBorder="1"/>
    <x:xf numFmtId="201" fontId="4" fillId="0" borderId="3"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28e0ebfa894b94" /><Relationship Type="http://schemas.openxmlformats.org/officeDocument/2006/relationships/theme" Target="/xl/theme/theme1.xml" Id="R38daf7f9b52c41d5" /><Relationship Type="http://schemas.microsoft.com/office/2022/11/relationships/FeaturePropertyBag" Target="/xl/featurePropertyBag/featurePropertyBag.xml" Id="Ra36aca08cc5b43d7" /><Relationship Type="http://schemas.openxmlformats.org/officeDocument/2006/relationships/sharedStrings" Target="/xl/sharedStrings.xml" Id="Ref7e4f07b21a48c5" /><Relationship Type="http://schemas.openxmlformats.org/officeDocument/2006/relationships/worksheet" Target="/xl/worksheets/sheet1.xml" Id="R460b2ed965954a7b" /><Relationship Type="http://schemas.openxmlformats.org/officeDocument/2006/relationships/worksheet" Target="/xl/worksheets/sheet2.xml" Id="Ra3f31078e1c641e8" /><Relationship Type="http://schemas.openxmlformats.org/officeDocument/2006/relationships/worksheet" Target="/xl/worksheets/sheet3.xml" Id="R732b236fc4dd4bed" /><Relationship Type="http://schemas.openxmlformats.org/officeDocument/2006/relationships/worksheet" Target="/xl/worksheets/sheet4.xml" Id="R8950096f146d4d00" /><Relationship Type="http://schemas.openxmlformats.org/officeDocument/2006/relationships/worksheet" Target="/xl/worksheets/sheet5.xml" Id="R6135a275d2664fc3" /><Relationship Type="http://schemas.openxmlformats.org/officeDocument/2006/relationships/worksheet" Target="/xl/worksheets/sheet6.xml" Id="R71c358f0aeba4a34" /><Relationship Type="http://schemas.openxmlformats.org/officeDocument/2006/relationships/worksheet" Target="/xl/worksheets/sheet7.xml" Id="R49541f5b5a3f46ab" /><Relationship Type="http://schemas.openxmlformats.org/officeDocument/2006/relationships/worksheet" Target="/xl/worksheets/sheet8.xml" Id="Re704a8ca49ee43e3" /><Relationship Type="http://schemas.openxmlformats.org/officeDocument/2006/relationships/worksheet" Target="/xl/worksheets/sheet9.xml" Id="Rbc008e095ce54e6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annerAddressColumns" displayName="BannerAddressColumns" ref="A4:H10" headerRowCount="1" totalsRowCount="0" totalsRowShown="0">
  <x:tableColumns count="8">
    <x:tableColumn id="1" name="Position"/>
    <x:tableColumn id="2" name="Column"/>
    <x:tableColumn id="3" name="PostgreSQL type"/>
    <x:tableColumn id="4" name="Nullable"/>
    <x:tableColumn id="5" name="Key / role"/>
    <x:tableColumn id="6" name="Business definition"/>
    <x:tableColumn id="7" name="Derivation / source"/>
    <x:tableColumn id="8" name="Example"/>
  </x:tableColumns>
  <x:tableStyleInfo name="TableStyleMedium2" showFirstColumn="0" showLastColumn="0" showRowStripes="1" showColumnStripes="0"/>
</x:table>
</file>

<file path=xl/tables/table2.xml><?xml version="1.0" encoding="utf-8"?>
<x:table xmlns:x="http://schemas.openxmlformats.org/spreadsheetml/2006/main" id="2" name="BannerUnitColumns" displayName="BannerUnitColumns" ref="A4:H10" headerRowCount="1" totalsRowCount="0" totalsRowShown="0">
  <x:tableColumns count="8">
    <x:tableColumn id="1" name="Position"/>
    <x:tableColumn id="2" name="Column"/>
    <x:tableColumn id="3" name="PostgreSQL type"/>
    <x:tableColumn id="4" name="Nullable"/>
    <x:tableColumn id="5" name="Key / role"/>
    <x:tableColumn id="6" name="Business definition"/>
    <x:tableColumn id="7" name="Derivation / source"/>
    <x:tableColumn id="8" name="Example"/>
  </x:tableColumns>
  <x:tableStyleInfo name="TableStyleMedium2" showFirstColumn="0" showLastColumn="0" showRowStripes="1" showColumnStripes="0"/>
</x:table>
</file>

<file path=xl/tables/table3.xml><?xml version="1.0" encoding="utf-8"?>
<x:table xmlns:x="http://schemas.openxmlformats.org/spreadsheetml/2006/main" id="3" name="BannerMapColumns" displayName="BannerMapColumns" ref="A4:H12" headerRowCount="1" totalsRowCount="0" totalsRowShown="0">
  <x:tableColumns count="8">
    <x:tableColumn id="1" name="Position"/>
    <x:tableColumn id="2" name="Column"/>
    <x:tableColumn id="3" name="PostgreSQL type"/>
    <x:tableColumn id="4" name="Nullable"/>
    <x:tableColumn id="5" name="Key / role"/>
    <x:tableColumn id="6" name="Business definition"/>
    <x:tableColumn id="7" name="Derivation / source"/>
    <x:tableColumn id="8" name="Example"/>
  </x:tableColumns>
  <x:tableStyleInfo name="TableStyleMedium2" showFirstColumn="0" showLastColumn="0" showRowStripes="1" showColumnStripes="0"/>
</x:table>
</file>

<file path=xl/tables/table4.xml><?xml version="1.0" encoding="utf-8"?>
<x:table xmlns:x="http://schemas.openxmlformats.org/spreadsheetml/2006/main" id="4" name="RelationshipsTable" displayName="RelationshipsTable" ref="A4:G7" headerRowCount="1" totalsRowCount="0" totalsRowShown="0">
  <x:tableColumns count="7">
    <x:tableColumn id="1" name="Parent table"/>
    <x:tableColumn id="2" name="Parent key"/>
    <x:tableColumn id="3" name="Parent cardinality"/>
    <x:tableColumn id="4" name="Child table"/>
    <x:tableColumn id="5" name="Child key"/>
    <x:tableColumn id="6" name="Child cardinality"/>
    <x:tableColumn id="7" name="Meaning"/>
  </x:tableColumns>
  <x:tableStyleInfo name="TableStyleMedium2" showFirstColumn="0" showLastColumn="0" showRowStripes="1" showColumnStripes="0"/>
</x:table>
</file>

<file path=xl/tables/table5.xml><?xml version="1.0" encoding="utf-8"?>
<x:table xmlns:x="http://schemas.openxmlformats.org/spreadsheetml/2006/main" id="5" name="NormalizationRules" displayName="NormalizationRules" ref="A4:E10" headerRowCount="1" totalsRowCount="0" totalsRowShown="0">
  <x:tableColumns count="5">
    <x:tableColumn id="1" name="Order"/>
    <x:tableColumn id="2" name="Rule"/>
    <x:tableColumn id="3" name="Behavior"/>
    <x:tableColumn id="4" name="Input example"/>
    <x:tableColumn id="5" name="Output example"/>
  </x:tableColumns>
  <x:tableStyleInfo name="TableStyleMedium2" showFirstColumn="0" showLastColumn="0" showRowStripes="1" showColumnStripes="0"/>
</x:table>
</file>

<file path=xl/tables/table6.xml><?xml version="1.0" encoding="utf-8"?>
<x:table xmlns:x="http://schemas.openxmlformats.org/spreadsheetml/2006/main" id="6" name="BaidExamples" displayName="BaidExamples" ref="A4:F6" headerRowCount="1" totalsRowCount="0" totalsRowShown="0">
  <x:tableColumns count="6">
    <x:tableColumn id="1" name="BAID"/>
    <x:tableColumn id="2" name="Normalized base address"/>
    <x:tableColumn id="3" name="Linked PropID count"/>
    <x:tableColumn id="4" name="Unit children"/>
    <x:tableColumn id="5" name="Highlighted PropIDs"/>
    <x:tableColumn id="6" name="Sample unit addresses"/>
  </x:tableColumns>
  <x:tableStyleInfo name="TableStyleMedium2" showFirstColumn="0" showLastColumn="0" showRowStripes="1" showColumnStripes="0"/>
</x:table>
</file>

<file path=xl/tables/table7.xml><?xml version="1.0" encoding="utf-8"?>
<x:table xmlns:x="http://schemas.openxmlformats.org/spreadsheetml/2006/main" id="7" name="IndexesTable" displayName="IndexesTable" ref="A4:C13" headerRowCount="1" totalsRowCount="0" totalsRowShown="0">
  <x:tableColumns count="3">
    <x:tableColumn id="1" name="Table"/>
    <x:tableColumn id="2" name="Index"/>
    <x:tableColumn id="3" name="Definition"/>
  </x:tableColumns>
  <x:tableStyleInfo name="TableStyleMedium2" showFirstColumn="0" showLastColumn="0" showRowStripes="1" showColumnStripes="0"/>
</x:table>
</file>

<file path=xl/tables/table8.xml><?xml version="1.0" encoding="utf-8"?>
<x:table xmlns:x="http://schemas.openxmlformats.org/spreadsheetml/2006/main" id="8" name="SqlUsageTable" displayName="SqlUsageTable" ref="A4:B9" headerRowCount="1" totalsRowCount="0" totalsRowShown="0">
  <x:tableColumns count="2">
    <x:tableColumn id="1" name="Task"/>
    <x:tableColumn id="2" name="SQL 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d1f6867b2e4444" /></Relationships>
</file>

<file path=xl/worksheets/_rels/sheet3.xml.rels>&#65279;<?xml version="1.0" encoding="utf-8"?><Relationships xmlns="http://schemas.openxmlformats.org/package/2006/relationships"><Relationship Type="http://schemas.openxmlformats.org/officeDocument/2006/relationships/table" Target="/xl/tables/table2.xml" Id="R4189ba87ce2d4dd6" /></Relationships>
</file>

<file path=xl/worksheets/_rels/sheet4.xml.rels>&#65279;<?xml version="1.0" encoding="utf-8"?><Relationships xmlns="http://schemas.openxmlformats.org/package/2006/relationships"><Relationship Type="http://schemas.openxmlformats.org/officeDocument/2006/relationships/table" Target="/xl/tables/table3.xml" Id="Rc204e069df264689" /></Relationships>
</file>

<file path=xl/worksheets/_rels/sheet5.xml.rels>&#65279;<?xml version="1.0" encoding="utf-8"?><Relationships xmlns="http://schemas.openxmlformats.org/package/2006/relationships"><Relationship Type="http://schemas.openxmlformats.org/officeDocument/2006/relationships/table" Target="/xl/tables/table4.xml" Id="R7accf6572fdd4f10" /></Relationships>
</file>

<file path=xl/worksheets/_rels/sheet6.xml.rels>&#65279;<?xml version="1.0" encoding="utf-8"?><Relationships xmlns="http://schemas.openxmlformats.org/package/2006/relationships"><Relationship Type="http://schemas.openxmlformats.org/officeDocument/2006/relationships/table" Target="/xl/tables/table5.xml" Id="R466921696fa54a2d" /></Relationships>
</file>

<file path=xl/worksheets/_rels/sheet7.xml.rels>&#65279;<?xml version="1.0" encoding="utf-8"?><Relationships xmlns="http://schemas.openxmlformats.org/package/2006/relationships"><Relationship Type="http://schemas.openxmlformats.org/officeDocument/2006/relationships/table" Target="/xl/tables/table6.xml" Id="R0bae773556ca46ca" /></Relationships>
</file>

<file path=xl/worksheets/_rels/sheet8.xml.rels>&#65279;<?xml version="1.0" encoding="utf-8"?><Relationships xmlns="http://schemas.openxmlformats.org/package/2006/relationships"><Relationship Type="http://schemas.openxmlformats.org/officeDocument/2006/relationships/table" Target="/xl/tables/table7.xml" Id="R4e739a37acbe4547" /></Relationships>
</file>

<file path=xl/worksheets/_rels/sheet9.xml.rels>&#65279;<?xml version="1.0" encoding="utf-8"?><Relationships xmlns="http://schemas.openxmlformats.org/package/2006/relationships"><Relationship Type="http://schemas.openxmlformats.org/officeDocument/2006/relationships/table" Target="/xl/tables/table8.xml" Id="Rafe1efe8a4f74ccb" /></Relationships>
</file>

<file path=xl/worksheets/sheet1.xml><?xml version="1.0" encoding="utf-8"?>
<x:worksheet xmlns:x="http://schemas.openxmlformats.org/spreadsheetml/2006/main">
  <x:sheetViews>
    <x:sheetView showGridLines="0" workbookViewId="0"/>
  </x:sheetViews>
  <x:sheetFormatPr defaultRowHeight="15"/>
  <x:cols>
    <x:col min="1" max="1" width="43" hidden="0" customWidth="1"/>
    <x:col min="2" max="2" width="20" hidden="0" customWidth="1"/>
    <x:col min="3" max="3" width="4" hidden="0" customWidth="1"/>
    <x:col min="4" max="4" width="42" hidden="0" customWidth="1"/>
    <x:col min="5" max="5" width="24" hidden="0" customWidth="1"/>
    <x:col min="6" max="6" width="58" hidden="0" customWidth="1"/>
  </x:cols>
  <x:sheetData>
    <x:row r="1" ht="38" customHeight="1">
      <x:c r="A1" s="3" t="str">
        <x:v>Banner Address ID (BAID) - Data Dictionary</x:v>
      </x:c>
    </x:row>
    <x:row r="2" ht="30" customHeight="1">
      <x:c r="A2" s="6" t="str">
        <x:v>Address-centric mapping for propdb_staging | Generated from the live schema on 19 July 2026</x:v>
      </x:c>
    </x:row>
    <x:row r="4">
      <x:c r="A4" s="9" t="str">
        <x:v>Key metric</x:v>
      </x:c>
      <x:c r="B4" s="9" t="str">
        <x:v>Current value</x:v>
      </x:c>
      <x:c r="D4" s="9" t="str">
        <x:v>Object</x:v>
      </x:c>
      <x:c r="E4" s="9" t="str">
        <x:v>Grain</x:v>
      </x:c>
      <x:c r="F4" s="9" t="str">
        <x:v>Purpose</x:v>
      </x:c>
    </x:row>
    <x:row r="5">
      <x:c r="A5" s="17" t="str">
        <x:v>Unique base addresses (BAIDs)</x:v>
      </x:c>
      <x:c r="B5" s="20" t="n">
        <x:v>2796093</x:v>
      </x:c>
      <x:c r="D5" s="17" t="str">
        <x:v>banner_address</x:v>
      </x:c>
      <x:c r="E5" s="17" t="str">
        <x:v>One row per normalized base address</x:v>
      </x:c>
      <x:c r="F5" s="17" t="str">
        <x:v>Master address table; BAID is the stable address key.</x:v>
      </x:c>
    </x:row>
    <x:row r="6">
      <x:c r="A6" s="18" t="str">
        <x:v>Distinct unit addresses</x:v>
      </x:c>
      <x:c r="B6" s="21" t="n">
        <x:v>830318</x:v>
      </x:c>
      <x:c r="D6" s="18" t="str">
        <x:v>banner_address_unit</x:v>
      </x:c>
      <x:c r="E6" s="18" t="str">
        <x:v>One row per normalized unit address</x:v>
      </x:c>
      <x:c r="F6" s="18" t="str">
        <x:v>Stores unit addresses and links every unit to its base BAID.</x:v>
      </x:c>
    </x:row>
    <x:row r="7">
      <x:c r="A7" s="18" t="str">
        <x:v>Address-to-PropID mapping rows</x:v>
      </x:c>
      <x:c r="B7" s="21" t="n">
        <x:v>3846452</x:v>
      </x:c>
      <x:c r="D7" s="19" t="str">
        <x:v>banner_address_prop_id_map</x:v>
      </x:c>
      <x:c r="E7" s="19" t="str">
        <x:v>One row per BAID and PropID</x:v>
      </x:c>
      <x:c r="F7" s="19" t="str">
        <x:v>Preserves every PropID associated with the address; no primary selection.</x:v>
      </x:c>
    </x:row>
    <x:row r="8">
      <x:c r="A8" s="18" t="str">
        <x:v>Base addresses linked to multiple PropIDs</x:v>
      </x:c>
      <x:c r="B8" s="21" t="n">
        <x:v>196844</x:v>
      </x:c>
    </x:row>
    <x:row r="9">
      <x:c r="A9" s="18" t="str">
        <x:v>Base addresses with unit children</x:v>
      </x:c>
      <x:c r="B9" s="21" t="n">
        <x:v>85828</x:v>
      </x:c>
      <x:c r="D9" s="24" t="str">
        <x:v>Core design decision</x:v>
      </x:c>
    </x:row>
    <x:row r="10">
      <x:c r="A10" s="19" t="str">
        <x:v>data_universe rows excluded for blank address</x:v>
      </x:c>
      <x:c r="B10" s="22" t="n">
        <x:v>2041</x:v>
      </x:c>
      <x:c r="D10" s="28" t="str">
        <x:v>BAID identifies a normalized address, not a preferred PropID. Multiple PropIDs at the same address are preserved because they may represent distinct valid parcels, buildings or towers. Unit addresses are stored separately and linked back to the base BAID.</x:v>
      </x:c>
    </x:row>
    <x:row r="13">
      <x:c r="A13" s="31" t="str">
        <x:v>Derived metric</x:v>
      </x:c>
      <x:c r="B13" s="31" t="str">
        <x:v>Percentage</x:v>
      </x:c>
    </x:row>
    <x:row r="14">
      <x:c r="A14" s="11" t="str">
        <x:v>BAIDs with multiple PropIDs</x:v>
      </x:c>
      <x:c r="B14" s="33" t="n">
        <x:f>B8/B5</x:f>
        <x:v>0.07039966124159676</x:v>
      </x:c>
    </x:row>
    <x:row r="15">
      <x:c r="A15" s="13" t="str">
        <x:v>BAIDs with unit children</x:v>
      </x:c>
      <x:c r="B15" s="34" t="n">
        <x:f>B9/B5</x:f>
        <x:v>0.030695688591187775</x:v>
      </x:c>
    </x:row>
  </x:sheetData>
  <x:mergeCells>
    <x:mergeCell ref="A1:F1"/>
    <x:mergeCell ref="A2:F2"/>
    <x:mergeCell ref="D9:F9"/>
    <x:mergeCell ref="D10:F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38" hidden="0" customWidth="1"/>
    <x:col min="3" max="3" width="23" hidden="0" customWidth="1"/>
    <x:col min="4" max="4" width="11" hidden="0" customWidth="1"/>
    <x:col min="5" max="5" width="25" hidden="0" customWidth="1"/>
    <x:col min="6" max="6" width="59" hidden="0" customWidth="1"/>
    <x:col min="7" max="7" width="62" hidden="0" customWidth="1"/>
    <x:col min="8" max="8" width="48" hidden="0" customWidth="1"/>
  </x:cols>
  <x:sheetData>
    <x:row r="1" ht="34" customHeight="1">
      <x:c r="A1" s="36" t="str">
        <x:v>banner_address - Column Dictionary</x:v>
      </x:c>
    </x:row>
    <x:row r="2" ht="36" customHeight="1">
      <x:c r="A2" s="37" t="str">
        <x:v>Live propdb_staging schema. Generated 2026-07-19.</x:v>
      </x:c>
    </x:row>
    <x:row r="4" ht="28" customHeight="1">
      <x:c r="A4" s="41" t="str">
        <x:v>Position</x:v>
      </x:c>
      <x:c r="B4" s="41" t="str">
        <x:v>Column</x:v>
      </x:c>
      <x:c r="C4" s="41" t="str">
        <x:v>PostgreSQL type</x:v>
      </x:c>
      <x:c r="D4" s="41" t="str">
        <x:v>Nullable</x:v>
      </x:c>
      <x:c r="E4" s="41" t="str">
        <x:v>Key / role</x:v>
      </x:c>
      <x:c r="F4" s="41" t="str">
        <x:v>Business definition</x:v>
      </x:c>
      <x:c r="G4" s="41" t="str">
        <x:v>Derivation / source</x:v>
      </x:c>
      <x:c r="H4" s="41" t="str">
        <x:v>Example</x:v>
      </x:c>
    </x:row>
    <x:row r="5" ht="96" hidden="0" customHeight="1">
      <x:c r="A5" s="17" t="n">
        <x:v>1</x:v>
      </x:c>
      <x:c r="B5" s="17" t="str">
        <x:v>baid</x:v>
      </x:c>
      <x:c r="C5" s="17" t="str">
        <x:v>uuid</x:v>
      </x:c>
      <x:c r="D5" s="17" t="str">
        <x:v>No</x:v>
      </x:c>
      <x:c r="E5" s="17" t="str">
        <x:v>Primary key</x:v>
      </x:c>
      <x:c r="F5" s="17" t="str">
        <x:v>Deterministic unique identifier for the normalized base address.</x:v>
      </x:c>
      <x:c r="G5" s="17" t="str">
        <x:v>md5(normalized_address)::uuid</x:v>
      </x:c>
      <x:c r="H5" s="17" t="str">
        <x:v>481be4b9-b2d9-9972-9f60-b8ebab0e5eb4</x:v>
      </x:c>
    </x:row>
    <x:row r="6" ht="84" hidden="0" customHeight="1">
      <x:c r="A6" s="18" t="n">
        <x:v>2</x:v>
      </x:c>
      <x:c r="B6" s="18" t="str">
        <x:v>normalized_address</x:v>
      </x:c>
      <x:c r="C6" s="18" t="str">
        <x:v>text</x:v>
      </x:c>
      <x:c r="D6" s="18" t="str">
        <x:v>Yes</x:v>
      </x:c>
      <x:c r="E6" s="18" t="str">
        <x:v>Unique</x:v>
      </x:c>
      <x:c r="F6" s="18" t="str">
        <x:v>Uppercase, unit-free base address used for address grouping.</x:v>
      </x:c>
      <x:c r="G6" s="18" t="str">
        <x:v>normalise_banner_base_address(data_universe.address)</x:v>
      </x:c>
      <x:c r="H6" s="18" t="str">
        <x:v>1 AVON ROAD PYMBLE NSW 2073</x:v>
      </x:c>
    </x:row>
    <x:row r="7" ht="60" hidden="0" customHeight="1">
      <x:c r="A7" s="18" t="n">
        <x:v>3</x:v>
      </x:c>
      <x:c r="B7" s="18" t="str">
        <x:v>prop_id_count</x:v>
      </x:c>
      <x:c r="C7" s="18" t="str">
        <x:v>integer</x:v>
      </x:c>
      <x:c r="D7" s="18" t="str">
        <x:v>Yes</x:v>
      </x:c>
      <x:c r="E7" s="18" t="str">
        <x:v>Count</x:v>
      </x:c>
      <x:c r="F7" s="18" t="str">
        <x:v>Number of distinct PropIDs linked to this BAID.</x:v>
      </x:c>
      <x:c r="G7" s="18" t="str">
        <x:v>count(distinct prop_id)</x:v>
      </x:c>
      <x:c r="H7" s="18" t="n">
        <x:v>162</x:v>
      </x:c>
    </x:row>
    <x:row r="8" ht="60" hidden="0" customHeight="1">
      <x:c r="A8" s="18" t="n">
        <x:v>4</x:v>
      </x:c>
      <x:c r="B8" s="18" t="str">
        <x:v>unit_address_count</x:v>
      </x:c>
      <x:c r="C8" s="18" t="str">
        <x:v>integer</x:v>
      </x:c>
      <x:c r="D8" s="18" t="str">
        <x:v>Yes</x:v>
      </x:c>
      <x:c r="E8" s="18" t="str">
        <x:v>Count</x:v>
      </x:c>
      <x:c r="F8" s="18" t="str">
        <x:v>Number of distinct unit-address child records.</x:v>
      </x:c>
      <x:c r="G8" s="18" t="str">
        <x:v>count(distinct normalized unit address)</x:v>
      </x:c>
      <x:c r="H8" s="18" t="n">
        <x:v>90</x:v>
      </x:c>
    </x:row>
    <x:row r="9" ht="60" hidden="0" customHeight="1">
      <x:c r="A9" s="18" t="n">
        <x:v>5</x:v>
      </x:c>
      <x:c r="B9" s="18" t="str">
        <x:v>has_unit_addresses</x:v>
      </x:c>
      <x:c r="C9" s="18" t="str">
        <x:v>boolean</x:v>
      </x:c>
      <x:c r="D9" s="18" t="str">
        <x:v>Yes</x:v>
      </x:c>
      <x:c r="E9" s="18" t="str">
        <x:v>Boolean</x:v>
      </x:c>
      <x:c r="F9" s="18" t="str">
        <x:v>Whether at least one unit child exists for this BAID.</x:v>
      </x:c>
      <x:c r="G9" s="18" t="str">
        <x:v>bool_or(has_unit_number)</x:v>
      </x:c>
      <x:c r="H9" s="45" t="b">
        <x:v>1</x:v>
      </x:c>
    </x:row>
    <x:row r="10" ht="60" hidden="0" customHeight="1">
      <x:c r="A10" s="19" t="n">
        <x:v>6</x:v>
      </x:c>
      <x:c r="B10" s="19" t="str">
        <x:v>generated_at</x:v>
      </x:c>
      <x:c r="C10" s="19" t="str">
        <x:v>timestamp with time zone</x:v>
      </x:c>
      <x:c r="D10" s="19" t="str">
        <x:v>Yes</x:v>
      </x:c>
      <x:c r="E10" s="19" t="str">
        <x:v>Timestamp</x:v>
      </x:c>
      <x:c r="F10" s="19" t="str">
        <x:v>Timestamp when the BAID layer was rebuilt.</x:v>
      </x:c>
      <x:c r="G10" s="19" t="str">
        <x:v>Database now()</x:v>
      </x:c>
      <x:c r="H10" s="19" t="str">
        <x:v>2026-07-19</x:v>
      </x:c>
    </x:row>
  </x:sheetData>
  <x:mergeCells>
    <x:mergeCell ref="A1:H1"/>
    <x:mergeCell ref="A2:H2"/>
  </x:mergeCells>
  <x:pageMargins left="0.7" right="0.7" top="0.75" bottom="0.75" header="0.3" footer="0.3"/>
  <x:tableParts count="1">
    <x:tablePart xmlns:r="http://schemas.openxmlformats.org/officeDocument/2006/relationships" r:id="Rebd1f6867b2e444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38" hidden="0" customWidth="1"/>
    <x:col min="3" max="3" width="23" hidden="0" customWidth="1"/>
    <x:col min="4" max="4" width="11" hidden="0" customWidth="1"/>
    <x:col min="5" max="5" width="25" hidden="0" customWidth="1"/>
    <x:col min="6" max="6" width="59" hidden="0" customWidth="1"/>
    <x:col min="7" max="7" width="62" hidden="0" customWidth="1"/>
    <x:col min="8" max="8" width="48" hidden="0" customWidth="1"/>
  </x:cols>
  <x:sheetData>
    <x:row r="1" ht="34" customHeight="1">
      <x:c r="A1" s="36" t="str">
        <x:v>banner_address_unit - Column Dictionary</x:v>
      </x:c>
    </x:row>
    <x:row r="2" ht="36" customHeight="1">
      <x:c r="A2" s="37" t="str">
        <x:v>Live propdb_staging schema. Generated 2026-07-19.</x:v>
      </x:c>
    </x:row>
    <x:row r="4" ht="28" customHeight="1">
      <x:c r="A4" s="41" t="str">
        <x:v>Position</x:v>
      </x:c>
      <x:c r="B4" s="41" t="str">
        <x:v>Column</x:v>
      </x:c>
      <x:c r="C4" s="41" t="str">
        <x:v>PostgreSQL type</x:v>
      </x:c>
      <x:c r="D4" s="41" t="str">
        <x:v>Nullable</x:v>
      </x:c>
      <x:c r="E4" s="41" t="str">
        <x:v>Key / role</x:v>
      </x:c>
      <x:c r="F4" s="41" t="str">
        <x:v>Business definition</x:v>
      </x:c>
      <x:c r="G4" s="41" t="str">
        <x:v>Derivation / source</x:v>
      </x:c>
      <x:c r="H4" s="41" t="str">
        <x:v>Example</x:v>
      </x:c>
    </x:row>
    <x:row r="5" ht="84" hidden="0" customHeight="1">
      <x:c r="A5" s="17" t="n">
        <x:v>1</x:v>
      </x:c>
      <x:c r="B5" s="17" t="str">
        <x:v>unit_address_id</x:v>
      </x:c>
      <x:c r="C5" s="17" t="str">
        <x:v>uuid</x:v>
      </x:c>
      <x:c r="D5" s="17" t="str">
        <x:v>No</x:v>
      </x:c>
      <x:c r="E5" s="17" t="str">
        <x:v>Primary key</x:v>
      </x:c>
      <x:c r="F5" s="17" t="str">
        <x:v>Deterministic identifier for a full normalized unit address.</x:v>
      </x:c>
      <x:c r="G5" s="17" t="str">
        <x:v>md5(normalized_unit_address)::uuid</x:v>
      </x:c>
      <x:c r="H5" s="17" t="str">
        <x:v>Deterministic UUID</x:v>
      </x:c>
    </x:row>
    <x:row r="6" ht="72" hidden="0" customHeight="1">
      <x:c r="A6" s="18" t="n">
        <x:v>2</x:v>
      </x:c>
      <x:c r="B6" s="18" t="str">
        <x:v>baid</x:v>
      </x:c>
      <x:c r="C6" s="18" t="str">
        <x:v>uuid</x:v>
      </x:c>
      <x:c r="D6" s="18" t="str">
        <x:v>Yes</x:v>
      </x:c>
      <x:c r="E6" s="18" t="str">
        <x:v>Foreign key</x:v>
      </x:c>
      <x:c r="F6" s="18" t="str">
        <x:v>Base-address identifier that owns this unit address.</x:v>
      </x:c>
      <x:c r="G6" s="18" t="str">
        <x:v>Lookup by normalized base address</x:v>
      </x:c>
      <x:c r="H6" s="18" t="str">
        <x:v>481be4b9-b2d9-9972-9f60-b8ebab0e5eb4</x:v>
      </x:c>
    </x:row>
    <x:row r="7" ht="96" hidden="0" customHeight="1">
      <x:c r="A7" s="18" t="n">
        <x:v>3</x:v>
      </x:c>
      <x:c r="B7" s="18" t="str">
        <x:v>normalized_unit_address</x:v>
      </x:c>
      <x:c r="C7" s="18" t="str">
        <x:v>text</x:v>
      </x:c>
      <x:c r="D7" s="18" t="str">
        <x:v>Yes</x:v>
      </x:c>
      <x:c r="E7" s="18" t="str">
        <x:v>Unique</x:v>
      </x:c>
      <x:c r="F7" s="18" t="str">
        <x:v>Full normalized address including the leading unit number.</x:v>
      </x:c>
      <x:c r="G7" s="18" t="str">
        <x:v>normalise_banner_address(data_universe.address)</x:v>
      </x:c>
      <x:c r="H7" s="18" t="str">
        <x:v>101/1 AVON ROAD PYMBLE NSW 2073</x:v>
      </x:c>
    </x:row>
    <x:row r="8" ht="60" hidden="0" customHeight="1">
      <x:c r="A8" s="18" t="n">
        <x:v>4</x:v>
      </x:c>
      <x:c r="B8" s="18" t="str">
        <x:v>unit_number</x:v>
      </x:c>
      <x:c r="C8" s="18" t="str">
        <x:v>text</x:v>
      </x:c>
      <x:c r="D8" s="18" t="str">
        <x:v>Yes</x:v>
      </x:c>
      <x:c r="E8" s="18" t="str">
        <x:v>Text</x:v>
      </x:c>
      <x:c r="F8" s="18" t="str">
        <x:v>Unit prefix extracted from the source address.</x:v>
      </x:c>
      <x:c r="G8" s="18" t="str">
        <x:v>Text before the first leading slash</x:v>
      </x:c>
      <x:c r="H8" s="18" t="str">
        <x:v>101</x:v>
      </x:c>
    </x:row>
    <x:row r="9" ht="84" hidden="0" customHeight="1">
      <x:c r="A9" s="18" t="n">
        <x:v>5</x:v>
      </x:c>
      <x:c r="B9" s="18" t="str">
        <x:v>prop_id_count</x:v>
      </x:c>
      <x:c r="C9" s="18" t="str">
        <x:v>integer</x:v>
      </x:c>
      <x:c r="D9" s="18" t="str">
        <x:v>Yes</x:v>
      </x:c>
      <x:c r="E9" s="18" t="str">
        <x:v>Count</x:v>
      </x:c>
      <x:c r="F9" s="18" t="str">
        <x:v>Number of distinct PropIDs linked to this exact unit address.</x:v>
      </x:c>
      <x:c r="G9" s="18" t="str">
        <x:v>count(distinct prop_id)</x:v>
      </x:c>
      <x:c r="H9" s="18" t="n">
        <x:v>1</x:v>
      </x:c>
    </x:row>
    <x:row r="10" ht="60" hidden="0" customHeight="1">
      <x:c r="A10" s="19" t="n">
        <x:v>6</x:v>
      </x:c>
      <x:c r="B10" s="19" t="str">
        <x:v>generated_at</x:v>
      </x:c>
      <x:c r="C10" s="19" t="str">
        <x:v>timestamp with time zone</x:v>
      </x:c>
      <x:c r="D10" s="19" t="str">
        <x:v>Yes</x:v>
      </x:c>
      <x:c r="E10" s="19" t="str">
        <x:v>Timestamp</x:v>
      </x:c>
      <x:c r="F10" s="19" t="str">
        <x:v>Timestamp when the BAID layer was rebuilt.</x:v>
      </x:c>
      <x:c r="G10" s="19" t="str">
        <x:v>Database now()</x:v>
      </x:c>
      <x:c r="H10" s="19" t="str">
        <x:v>2026-07-19</x:v>
      </x:c>
    </x:row>
  </x:sheetData>
  <x:mergeCells>
    <x:mergeCell ref="A1:H1"/>
    <x:mergeCell ref="A2:H2"/>
  </x:mergeCells>
  <x:pageMargins left="0.7" right="0.7" top="0.75" bottom="0.75" header="0.3" footer="0.3"/>
  <x:tableParts count="1">
    <x:tablePart xmlns:r="http://schemas.openxmlformats.org/officeDocument/2006/relationships" r:id="R4189ba87ce2d4dd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38" hidden="0" customWidth="1"/>
    <x:col min="3" max="3" width="23" hidden="0" customWidth="1"/>
    <x:col min="4" max="4" width="11" hidden="0" customWidth="1"/>
    <x:col min="5" max="5" width="25" hidden="0" customWidth="1"/>
    <x:col min="6" max="6" width="59" hidden="0" customWidth="1"/>
    <x:col min="7" max="7" width="62" hidden="0" customWidth="1"/>
    <x:col min="8" max="8" width="48" hidden="0" customWidth="1"/>
  </x:cols>
  <x:sheetData>
    <x:row r="1" ht="34" customHeight="1">
      <x:c r="A1" s="36" t="str">
        <x:v>banner_address_prop_id_map - Column Dictionary</x:v>
      </x:c>
    </x:row>
    <x:row r="2" ht="36" customHeight="1">
      <x:c r="A2" s="37" t="str">
        <x:v>Live propdb_staging schema. Generated 2026-07-19.</x:v>
      </x:c>
    </x:row>
    <x:row r="4" ht="28" customHeight="1">
      <x:c r="A4" s="41" t="str">
        <x:v>Position</x:v>
      </x:c>
      <x:c r="B4" s="41" t="str">
        <x:v>Column</x:v>
      </x:c>
      <x:c r="C4" s="41" t="str">
        <x:v>PostgreSQL type</x:v>
      </x:c>
      <x:c r="D4" s="41" t="str">
        <x:v>Nullable</x:v>
      </x:c>
      <x:c r="E4" s="41" t="str">
        <x:v>Key / role</x:v>
      </x:c>
      <x:c r="F4" s="41" t="str">
        <x:v>Business definition</x:v>
      </x:c>
      <x:c r="G4" s="41" t="str">
        <x:v>Derivation / source</x:v>
      </x:c>
      <x:c r="H4" s="41" t="str">
        <x:v>Example</x:v>
      </x:c>
    </x:row>
    <x:row r="5" ht="60" hidden="0" customHeight="1">
      <x:c r="A5" s="17" t="n">
        <x:v>1</x:v>
      </x:c>
      <x:c r="B5" s="17" t="str">
        <x:v>baid</x:v>
      </x:c>
      <x:c r="C5" s="17" t="str">
        <x:v>uuid</x:v>
      </x:c>
      <x:c r="D5" s="17" t="str">
        <x:v>No</x:v>
      </x:c>
      <x:c r="E5" s="17" t="str">
        <x:v>Primary + foreign key</x:v>
      </x:c>
      <x:c r="F5" s="17" t="str">
        <x:v>Base address associated with the PropID.</x:v>
      </x:c>
      <x:c r="G5" s="17" t="str">
        <x:v>Lookup by normalized base address</x:v>
      </x:c>
      <x:c r="H5" s="17" t="str">
        <x:v>481be4b9-b2d9-9972-9f60-b8ebab0e5eb4</x:v>
      </x:c>
    </x:row>
    <x:row r="6" ht="72" hidden="0" customHeight="1">
      <x:c r="A6" s="18" t="n">
        <x:v>2</x:v>
      </x:c>
      <x:c r="B6" s="18" t="str">
        <x:v>prop_id</x:v>
      </x:c>
      <x:c r="C6" s="18" t="str">
        <x:v>bigint</x:v>
      </x:c>
      <x:c r="D6" s="18" t="str">
        <x:v>No</x:v>
      </x:c>
      <x:c r="E6" s="18" t="str">
        <x:v>Primary key component</x:v>
      </x:c>
      <x:c r="F6" s="18" t="str">
        <x:v>Property or parcel identifier from data_universe.</x:v>
      </x:c>
      <x:c r="G6" s="18" t="str">
        <x:v>data_universe.prop_id</x:v>
      </x:c>
      <x:c r="H6" s="18" t="n">
        <x:v>4158520</x:v>
      </x:c>
    </x:row>
    <x:row r="7" ht="120" hidden="0" customHeight="1">
      <x:c r="A7" s="18" t="n">
        <x:v>3</x:v>
      </x:c>
      <x:c r="B7" s="18" t="str">
        <x:v>unit_address_id</x:v>
      </x:c>
      <x:c r="C7" s="18" t="str">
        <x:v>uuid</x:v>
      </x:c>
      <x:c r="D7" s="18" t="str">
        <x:v>Yes</x:v>
      </x:c>
      <x:c r="E7" s="18" t="str">
        <x:v>Nullable foreign key</x:v>
      </x:c>
      <x:c r="F7" s="18" t="str">
        <x:v>Unit child identifier when the source address has a slash-style unit prefix; otherwise null.</x:v>
      </x:c>
      <x:c r="G7" s="18" t="str">
        <x:v>Lookup by normalized full address</x:v>
      </x:c>
      <x:c r="H7" s="18" t="str">
        <x:v>Unit UUID or blank</x:v>
      </x:c>
    </x:row>
    <x:row r="8" ht="84" hidden="0" customHeight="1">
      <x:c r="A8" s="18" t="n">
        <x:v>4</x:v>
      </x:c>
      <x:c r="B8" s="18" t="str">
        <x:v>original_address</x:v>
      </x:c>
      <x:c r="C8" s="18" t="str">
        <x:v>text</x:v>
      </x:c>
      <x:c r="D8" s="18" t="str">
        <x:v>Yes</x:v>
      </x:c>
      <x:c r="E8" s="18" t="str">
        <x:v>Text</x:v>
      </x:c>
      <x:c r="F8" s="18" t="str">
        <x:v>Original address text retained for traceability.</x:v>
      </x:c>
      <x:c r="G8" s="18" t="str">
        <x:v>data_universe.address</x:v>
      </x:c>
      <x:c r="H8" s="18" t="str">
        <x:v>101/1 AVON RD, PYMBLE NSW 2073</x:v>
      </x:c>
    </x:row>
    <x:row r="9" ht="84" hidden="0" customHeight="1">
      <x:c r="A9" s="18" t="n">
        <x:v>5</x:v>
      </x:c>
      <x:c r="B9" s="18" t="str">
        <x:v>normalized_full_address</x:v>
      </x:c>
      <x:c r="C9" s="18" t="str">
        <x:v>text</x:v>
      </x:c>
      <x:c r="D9" s="18" t="str">
        <x:v>Yes</x:v>
      </x:c>
      <x:c r="E9" s="18" t="str">
        <x:v>Text</x:v>
      </x:c>
      <x:c r="F9" s="18" t="str">
        <x:v>Normalized full source address, including unit where present.</x:v>
      </x:c>
      <x:c r="G9" s="18" t="str">
        <x:v>normalise_banner_address(original_address)</x:v>
      </x:c>
      <x:c r="H9" s="18" t="str">
        <x:v>101/1 AVON ROAD PYMBLE NSW 2073</x:v>
      </x:c>
    </x:row>
    <x:row r="10" ht="84" hidden="0" customHeight="1">
      <x:c r="A10" s="18" t="n">
        <x:v>6</x:v>
      </x:c>
      <x:c r="B10" s="18" t="str">
        <x:v>has_unit_number</x:v>
      </x:c>
      <x:c r="C10" s="18" t="str">
        <x:v>boolean</x:v>
      </x:c>
      <x:c r="D10" s="18" t="str">
        <x:v>Yes</x:v>
      </x:c>
      <x:c r="E10" s="18" t="str">
        <x:v>Boolean</x:v>
      </x:c>
      <x:c r="F10" s="18" t="str">
        <x:v>Whether the source address starts with a slash-style unit prefix.</x:v>
      </x:c>
      <x:c r="G10" s="18" t="str">
        <x:v>banner_address_has_unit_number(original_address)</x:v>
      </x:c>
      <x:c r="H10" s="45" t="b">
        <x:v>1</x:v>
      </x:c>
    </x:row>
    <x:row r="11" ht="60" hidden="0" customHeight="1">
      <x:c r="A11" s="18" t="n">
        <x:v>7</x:v>
      </x:c>
      <x:c r="B11" s="18" t="str">
        <x:v>unit_number</x:v>
      </x:c>
      <x:c r="C11" s="18" t="str">
        <x:v>text</x:v>
      </x:c>
      <x:c r="D11" s="18" t="str">
        <x:v>Yes</x:v>
      </x:c>
      <x:c r="E11" s="18" t="str">
        <x:v>Text or null</x:v>
      </x:c>
      <x:c r="F11" s="18" t="str">
        <x:v>Extracted unit prefix; null for base-address rows.</x:v>
      </x:c>
      <x:c r="G11" s="18" t="str">
        <x:v>banner_address_unit_number(original_address)</x:v>
      </x:c>
      <x:c r="H11" s="18" t="str">
        <x:v>101</x:v>
      </x:c>
    </x:row>
    <x:row r="12" ht="60" hidden="0" customHeight="1">
      <x:c r="A12" s="19" t="n">
        <x:v>8</x:v>
      </x:c>
      <x:c r="B12" s="19" t="str">
        <x:v>generated_at</x:v>
      </x:c>
      <x:c r="C12" s="19" t="str">
        <x:v>timestamp with time zone</x:v>
      </x:c>
      <x:c r="D12" s="19" t="str">
        <x:v>Yes</x:v>
      </x:c>
      <x:c r="E12" s="19" t="str">
        <x:v>Timestamp</x:v>
      </x:c>
      <x:c r="F12" s="19" t="str">
        <x:v>Timestamp when the BAID layer was rebuilt.</x:v>
      </x:c>
      <x:c r="G12" s="19" t="str">
        <x:v>Database now()</x:v>
      </x:c>
      <x:c r="H12" s="19" t="str">
        <x:v>2026-07-19</x:v>
      </x:c>
    </x:row>
  </x:sheetData>
  <x:mergeCells>
    <x:mergeCell ref="A1:H1"/>
    <x:mergeCell ref="A2:H2"/>
  </x:mergeCells>
  <x:pageMargins left="0.7" right="0.7" top="0.75" bottom="0.75" header="0.3" footer="0.3"/>
  <x:tableParts count="1">
    <x:tablePart xmlns:r="http://schemas.openxmlformats.org/officeDocument/2006/relationships" r:id="Rc204e069df2646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5" hidden="0" customWidth="1"/>
    <x:col min="3" max="3" width="18" hidden="0" customWidth="1"/>
    <x:col min="4" max="4" width="42" hidden="0" customWidth="1"/>
    <x:col min="5" max="5" width="27" hidden="0" customWidth="1"/>
    <x:col min="6" max="6" width="18" hidden="0" customWidth="1"/>
    <x:col min="7" max="7" width="72" hidden="0" customWidth="1"/>
  </x:cols>
  <x:sheetData>
    <x:row r="1" ht="34" customHeight="1">
      <x:c r="A1" s="36" t="str">
        <x:v>BAID Table Relationships</x:v>
      </x:c>
    </x:row>
    <x:row r="2" ht="36" customHeight="1">
      <x:c r="A2" s="37" t="str">
        <x:v>The model is address-centric. It does not nominate primary or obsolete PropIDs.</x:v>
      </x:c>
    </x:row>
    <x:row r="4" ht="28" customHeight="1">
      <x:c r="A4" s="41" t="str">
        <x:v>Parent table</x:v>
      </x:c>
      <x:c r="B4" s="41" t="str">
        <x:v>Parent key</x:v>
      </x:c>
      <x:c r="C4" s="41" t="str">
        <x:v>Parent cardinality</x:v>
      </x:c>
      <x:c r="D4" s="41" t="str">
        <x:v>Child table</x:v>
      </x:c>
      <x:c r="E4" s="41" t="str">
        <x:v>Child key</x:v>
      </x:c>
      <x:c r="F4" s="41" t="str">
        <x:v>Child cardinality</x:v>
      </x:c>
      <x:c r="G4" s="41" t="str">
        <x:v>Meaning</x:v>
      </x:c>
    </x:row>
    <x:row r="5" ht="84" hidden="0" customHeight="1">
      <x:c r="A5" s="17" t="str">
        <x:v>banner_address</x:v>
      </x:c>
      <x:c r="B5" s="17" t="str">
        <x:v>baid</x:v>
      </x:c>
      <x:c r="C5" s="17" t="str">
        <x:v>1</x:v>
      </x:c>
      <x:c r="D5" s="17" t="str">
        <x:v>banner_address_unit</x:v>
      </x:c>
      <x:c r="E5" s="17" t="str">
        <x:v>baid</x:v>
      </x:c>
      <x:c r="F5" s="17" t="str">
        <x:v>0..many</x:v>
      </x:c>
      <x:c r="G5" s="17" t="str">
        <x:v>A base address can have many unit-address children.</x:v>
      </x:c>
    </x:row>
    <x:row r="6" ht="60" hidden="0" customHeight="1">
      <x:c r="A6" s="18" t="str">
        <x:v>banner_address</x:v>
      </x:c>
      <x:c r="B6" s="18" t="str">
        <x:v>baid</x:v>
      </x:c>
      <x:c r="C6" s="18" t="str">
        <x:v>1</x:v>
      </x:c>
      <x:c r="D6" s="18" t="str">
        <x:v>banner_address_prop_id_map</x:v>
      </x:c>
      <x:c r="E6" s="18" t="str">
        <x:v>baid</x:v>
      </x:c>
      <x:c r="F6" s="18" t="str">
        <x:v>1..many</x:v>
      </x:c>
      <x:c r="G6" s="18" t="str">
        <x:v>A base address can retain many valid PropIDs.</x:v>
      </x:c>
    </x:row>
    <x:row r="7" ht="96" hidden="0" customHeight="1">
      <x:c r="A7" s="19" t="str">
        <x:v>banner_address_unit</x:v>
      </x:c>
      <x:c r="B7" s="19" t="str">
        <x:v>unit_address_id</x:v>
      </x:c>
      <x:c r="C7" s="19" t="str">
        <x:v>1</x:v>
      </x:c>
      <x:c r="D7" s="19" t="str">
        <x:v>banner_address_prop_id_map</x:v>
      </x:c>
      <x:c r="E7" s="19" t="str">
        <x:v>unit_address_id</x:v>
      </x:c>
      <x:c r="F7" s="19" t="str">
        <x:v>0..many</x:v>
      </x:c>
      <x:c r="G7" s="19" t="str">
        <x:v>Unit-level map rows point to their exact unit child; base rows keep this key null.</x:v>
      </x:c>
    </x:row>
  </x:sheetData>
  <x:mergeCells>
    <x:mergeCell ref="A1:G1"/>
    <x:mergeCell ref="A2:G2"/>
  </x:mergeCells>
  <x:pageMargins left="0.7" right="0.7" top="0.75" bottom="0.75" header="0.3" footer="0.3"/>
  <x:tableParts count="1">
    <x:tablePart xmlns:r="http://schemas.openxmlformats.org/officeDocument/2006/relationships" r:id="R7accf6572fdd4f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38" hidden="0" customWidth="1"/>
    <x:col min="3" max="3" width="90" hidden="0" customWidth="1"/>
    <x:col min="4" max="4" width="57" hidden="0" customWidth="1"/>
    <x:col min="5" max="5" width="72" hidden="0" customWidth="1"/>
  </x:cols>
  <x:sheetData>
    <x:row r="1" ht="34" customHeight="1">
      <x:c r="A1" s="36" t="str">
        <x:v>Address Normalization Rules</x:v>
      </x:c>
    </x:row>
    <x:row r="2" ht="36" customHeight="1">
      <x:c r="A2" s="37" t="str">
        <x:v>Normalization creates repeatable joins; review the rules before changing them because a changed normalized address produces a changed identifier.</x:v>
      </x:c>
    </x:row>
    <x:row r="4" ht="28" customHeight="1">
      <x:c r="A4" s="41" t="str">
        <x:v>Order</x:v>
      </x:c>
      <x:c r="B4" s="41" t="str">
        <x:v>Rule</x:v>
      </x:c>
      <x:c r="C4" s="41" t="str">
        <x:v>Behavior</x:v>
      </x:c>
      <x:c r="D4" s="41" t="str">
        <x:v>Input example</x:v>
      </x:c>
      <x:c r="E4" s="41" t="str">
        <x:v>Output example</x:v>
      </x:c>
    </x:row>
    <x:row r="5" ht="84" hidden="0" customHeight="1">
      <x:c r="A5" s="17" t="n">
        <x:v>1</x:v>
      </x:c>
      <x:c r="B5" s="17" t="str">
        <x:v>Trim and uppercase</x:v>
      </x:c>
      <x:c r="C5" s="17" t="str">
        <x:v>Leading/trailing spaces are removed and text is uppercased.</x:v>
      </x:c>
      <x:c r="D5" s="17" t="str">
        <x:v> 1 Avon Rd, Pymble NSW 2073 </x:v>
      </x:c>
      <x:c r="E5" s="17" t="str">
        <x:v>1 AVON RD, PYMBLE NSW 2073</x:v>
      </x:c>
    </x:row>
    <x:row r="6" ht="60" hidden="0" customHeight="1">
      <x:c r="A6" s="18" t="n">
        <x:v>2</x:v>
      </x:c>
      <x:c r="B6" s="18" t="str">
        <x:v>Normalize slash spacing</x:v>
      </x:c>
      <x:c r="C6" s="18" t="str">
        <x:v>Spaces around the unit slash are removed.</x:v>
      </x:c>
      <x:c r="D6" s="18" t="str">
        <x:v>101 / 1 AVON RD, PYMBLE NSW 2073</x:v>
      </x:c>
      <x:c r="E6" s="18" t="str">
        <x:v>101/1 AVON RD, PYMBLE NSW 2073</x:v>
      </x:c>
    </x:row>
    <x:row r="7" ht="108" hidden="0" customHeight="1">
      <x:c r="A7" s="18" t="n">
        <x:v>3</x:v>
      </x:c>
      <x:c r="B7" s="18" t="str">
        <x:v>Expand safe street abbreviations</x:v>
      </x:c>
      <x:c r="C7" s="18" t="str">
        <x:v>A known street-type abbreviation is expanded only when immediately before a comma.</x:v>
      </x:c>
      <x:c r="D7" s="18" t="str">
        <x:v>1 AVON RD, PYMBLE NSW 2073</x:v>
      </x:c>
      <x:c r="E7" s="18" t="str">
        <x:v>1 AVON ROAD, PYMBLE NSW 2073</x:v>
      </x:c>
    </x:row>
    <x:row r="8" ht="96" hidden="0" customHeight="1">
      <x:c r="A8" s="18" t="n">
        <x:v>4</x:v>
      </x:c>
      <x:c r="B8" s="18" t="str">
        <x:v>Remove punctuation</x:v>
      </x:c>
      <x:c r="C8" s="18" t="str">
        <x:v>Commas and periods become spaces; repeated spaces collapse.</x:v>
      </x:c>
      <x:c r="D8" s="18" t="str">
        <x:v>1 AVON ROAD, PYMBLE NSW 2073</x:v>
      </x:c>
      <x:c r="E8" s="18" t="str">
        <x:v>1 AVON ROAD PYMBLE NSW 2073</x:v>
      </x:c>
    </x:row>
    <x:row r="9" ht="108" hidden="0" customHeight="1">
      <x:c r="A9" s="18" t="n">
        <x:v>5</x:v>
      </x:c>
      <x:c r="B9" s="18" t="str">
        <x:v>Split unit from base</x:v>
      </x:c>
      <x:c r="C9" s="18" t="str">
        <x:v>A leading text/slash prefix is retained in the unit table and removed for the base BAID.</x:v>
      </x:c>
      <x:c r="D9" s="18" t="str">
        <x:v>101/1 AVON ROAD PYMBLE NSW 2073</x:v>
      </x:c>
      <x:c r="E9" s="18" t="str">
        <x:v>Base: 1 AVON ROAD PYMBLE NSW 2073; unit: 101/1 ...</x:v>
      </x:c>
    </x:row>
    <x:row r="10" ht="144" hidden="0" customHeight="1">
      <x:c r="A10" s="19" t="n">
        <x:v>6</x:v>
      </x:c>
      <x:c r="B10" s="19" t="str">
        <x:v>Generate deterministic IDs</x:v>
      </x:c>
      <x:c r="C10" s="19" t="str">
        <x:v>BAID is md5(base normalized address)::uuid; unit_address_id uses the full normalized unit address.</x:v>
      </x:c>
      <x:c r="D10" s="19" t="str">
        <x:v>Normalized address</x:v>
      </x:c>
      <x:c r="E10" s="19" t="str">
        <x:v>Stable UUID while normalization rules remain unchanged</x:v>
      </x:c>
    </x:row>
  </x:sheetData>
  <x:mergeCells>
    <x:mergeCell ref="A1:E1"/>
    <x:mergeCell ref="A2:E2"/>
  </x:mergeCells>
  <x:pageMargins left="0.7" right="0.7" top="0.75" bottom="0.75" header="0.3" footer="0.3"/>
  <x:tableParts count="1">
    <x:tablePart xmlns:r="http://schemas.openxmlformats.org/officeDocument/2006/relationships" r:id="R466921696fa54a2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3" hidden="0" customWidth="1"/>
    <x:col min="2" max="2" width="58" hidden="0" customWidth="1"/>
    <x:col min="3" max="3" width="20" hidden="0" customWidth="1"/>
    <x:col min="4" max="4" width="16" hidden="0" customWidth="1"/>
    <x:col min="5" max="5" width="34" hidden="0" customWidth="1"/>
    <x:col min="6" max="6" width="108" hidden="0" customWidth="1"/>
  </x:cols>
  <x:sheetData>
    <x:row r="1" ht="34" customHeight="1">
      <x:c r="A1" s="36" t="str">
        <x:v>Worked BAID Examples</x:v>
      </x:c>
    </x:row>
    <x:row r="2" ht="36" customHeight="1">
      <x:c r="A2" s="37" t="str">
        <x:v>Avon Road demonstrates unit-to-base linking. North Sydney demonstrates two important tower PropIDs retained under one address.</x:v>
      </x:c>
    </x:row>
    <x:row r="4" ht="28" customHeight="1">
      <x:c r="A4" s="41" t="str">
        <x:v>BAID</x:v>
      </x:c>
      <x:c r="B4" s="41" t="str">
        <x:v>Normalized base address</x:v>
      </x:c>
      <x:c r="C4" s="41" t="str">
        <x:v>Linked PropID count</x:v>
      </x:c>
      <x:c r="D4" s="41" t="str">
        <x:v>Unit children</x:v>
      </x:c>
      <x:c r="E4" s="41" t="str">
        <x:v>Highlighted PropIDs</x:v>
      </x:c>
      <x:c r="F4" s="41" t="str">
        <x:v>Sample unit addresses</x:v>
      </x:c>
    </x:row>
    <x:row r="5" ht="360" hidden="0" customHeight="1">
      <x:c r="A5" s="17" t="str">
        <x:v>6baa65d3-1f90-95a8-a246-7df49e7a8a44</x:v>
      </x:c>
      <x:c r="B5" s="17" t="str">
        <x:v>150 PACIFIC HIGHWAY NORTH SYDNEY NSW 2060</x:v>
      </x:c>
      <x:c r="C5" s="17" t="n">
        <x:v>258</x:v>
      </x:c>
      <x:c r="D5" s="17" t="n">
        <x:v>255</x:v>
      </x:c>
      <x:c r="E5" s="17" t="str">
        <x:v>4161744, 4171107</x:v>
      </x:c>
      <x:c r="F5" s="17" t="str">
        <x:v>1001/150 PACIFIC HIGHWAY NORTH SYDNEY NSW 2060 | 1002/150 PACIFIC HIGHWAY NORTH SYDNEY NSW 2060 | 1003/150 PACIFIC HIGHWAY NORTH SYDNEY NSW 2060 | 1004/150 PACIFIC HIGHWAY NORTH SYDNEY NSW 2060 | 1005/150 PACIFIC HIGHWAY NORTH SYDNEY NSW 2060</x:v>
      </x:c>
    </x:row>
    <x:row r="6" ht="300" hidden="0" customHeight="1">
      <x:c r="A6" s="19" t="str">
        <x:v>481be4b9-b2d9-9972-9f60-b8ebab0e5eb4</x:v>
      </x:c>
      <x:c r="B6" s="19" t="str">
        <x:v>1 AVON ROAD PYMBLE NSW 2073</x:v>
      </x:c>
      <x:c r="C6" s="19" t="n">
        <x:v>162</x:v>
      </x:c>
      <x:c r="D6" s="19" t="n">
        <x:v>90</x:v>
      </x:c>
      <x:c r="E6" s="19" t="str">
        <x:v>4158520</x:v>
      </x:c>
      <x:c r="F6" s="19" t="str">
        <x:v>1001/1 AVON ROAD PYMBLE NSW 2073 | 1002/1 AVON ROAD PYMBLE NSW 2073 | 1003/1 AVON ROAD PYMBLE NSW 2073 | 1005/1 AVON ROAD PYMBLE NSW 2073 | 1006/1 AVON ROAD PYMBLE NSW 2073</x:v>
      </x:c>
    </x:row>
  </x:sheetData>
  <x:mergeCells>
    <x:mergeCell ref="A1:F1"/>
    <x:mergeCell ref="A2:F2"/>
  </x:mergeCells>
  <x:pageMargins left="0.7" right="0.7" top="0.75" bottom="0.75" header="0.3" footer="0.3"/>
  <x:tableParts count="1">
    <x:tablePart xmlns:r="http://schemas.openxmlformats.org/officeDocument/2006/relationships" r:id="R0bae773556ca46c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5" hidden="0" customWidth="1"/>
    <x:col min="2" max="2" width="58" hidden="0" customWidth="1"/>
    <x:col min="3" max="3" width="125" hidden="0" customWidth="1"/>
  </x:cols>
  <x:sheetData>
    <x:row r="1" ht="34" customHeight="1">
      <x:c r="A1" s="36" t="str">
        <x:v>Keys and Indexes</x:v>
      </x:c>
    </x:row>
    <x:row r="2" ht="36" customHeight="1">
      <x:c r="A2" s="37" t="str">
        <x:v>Live definitions from pg_indexes. Primary and unique constraints also create indexes.</x:v>
      </x:c>
    </x:row>
    <x:row r="4" ht="28" customHeight="1">
      <x:c r="A4" s="41" t="str">
        <x:v>Table</x:v>
      </x:c>
      <x:c r="B4" s="41" t="str">
        <x:v>Index</x:v>
      </x:c>
      <x:c r="C4" s="41" t="str">
        <x:v>Definition</x:v>
      </x:c>
    </x:row>
    <x:row r="5" ht="192" hidden="0" customHeight="1">
      <x:c r="A5" s="17" t="str">
        <x:v>banner_address</x:v>
      </x:c>
      <x:c r="B5" s="17" t="str">
        <x:v>banner_address_normalized_address_key</x:v>
      </x:c>
      <x:c r="C5" s="17" t="str">
        <x:v>CREATE UNIQUE INDEX banner_address_normalized_address_key ON propdb_staging.banner_address USING btree (normalized_address)</x:v>
      </x:c>
    </x:row>
    <x:row r="6" ht="144" hidden="0" customHeight="1">
      <x:c r="A6" s="18" t="str">
        <x:v>banner_address</x:v>
      </x:c>
      <x:c r="B6" s="18" t="str">
        <x:v>banner_address_pkey</x:v>
      </x:c>
      <x:c r="C6" s="18" t="str">
        <x:v>CREATE UNIQUE INDEX banner_address_pkey ON propdb_staging.banner_address USING btree (baid)</x:v>
      </x:c>
    </x:row>
    <x:row r="7" ht="168" hidden="0" customHeight="1">
      <x:c r="A7" s="18" t="str">
        <x:v>banner_address</x:v>
      </x:c>
      <x:c r="B7" s="18" t="str">
        <x:v>idx_banner_address_prop_id_count</x:v>
      </x:c>
      <x:c r="C7" s="18" t="str">
        <x:v>CREATE INDEX idx_banner_address_prop_id_count ON propdb_staging.banner_address USING btree (prop_id_count DESC)</x:v>
      </x:c>
    </x:row>
    <x:row r="8" ht="192" hidden="0" customHeight="1">
      <x:c r="A8" s="18" t="str">
        <x:v>banner_address_prop_id_map</x:v>
      </x:c>
      <x:c r="B8" s="18" t="str">
        <x:v>banner_address_prop_id_map_pkey</x:v>
      </x:c>
      <x:c r="C8" s="18" t="str">
        <x:v>CREATE UNIQUE INDEX banner_address_prop_id_map_pkey ON propdb_staging.banner_address_prop_id_map USING btree (baid, prop_id)</x:v>
      </x:c>
    </x:row>
    <x:row r="9" ht="180" hidden="0" customHeight="1">
      <x:c r="A9" s="18" t="str">
        <x:v>banner_address_prop_id_map</x:v>
      </x:c>
      <x:c r="B9" s="18" t="str">
        <x:v>idx_banner_address_prop_id_map_prop_id</x:v>
      </x:c>
      <x:c r="C9" s="18" t="str">
        <x:v>CREATE INDEX idx_banner_address_prop_id_map_prop_id ON propdb_staging.banner_address_prop_id_map USING btree (prop_id)</x:v>
      </x:c>
    </x:row>
    <x:row r="10" ht="252" hidden="0" customHeight="1">
      <x:c r="A10" s="18" t="str">
        <x:v>banner_address_prop_id_map</x:v>
      </x:c>
      <x:c r="B10" s="18" t="str">
        <x:v>idx_banner_address_prop_id_map_unit_address</x:v>
      </x:c>
      <x:c r="C10" s="18" t="str">
        <x:v>CREATE INDEX idx_banner_address_prop_id_map_unit_address ON propdb_staging.banner_address_prop_id_map USING btree (unit_address_id) WHERE (unit_address_id IS NOT NULL)</x:v>
      </x:c>
    </x:row>
    <x:row r="11" ht="204" hidden="0" customHeight="1">
      <x:c r="A11" s="18" t="str">
        <x:v>banner_address_unit</x:v>
      </x:c>
      <x:c r="B11" s="18" t="str">
        <x:v>banner_address_unit_normalized_address_key</x:v>
      </x:c>
      <x:c r="C11" s="18" t="str">
        <x:v>CREATE UNIQUE INDEX banner_address_unit_normalized_address_key ON propdb_staging.banner_address_unit USING btree (normalized_unit_address)</x:v>
      </x:c>
    </x:row>
    <x:row r="12" ht="168" hidden="0" customHeight="1">
      <x:c r="A12" s="18" t="str">
        <x:v>banner_address_unit</x:v>
      </x:c>
      <x:c r="B12" s="18" t="str">
        <x:v>banner_address_unit_pkey</x:v>
      </x:c>
      <x:c r="C12" s="18" t="str">
        <x:v>CREATE UNIQUE INDEX banner_address_unit_pkey ON propdb_staging.banner_address_unit USING btree (unit_address_id)</x:v>
      </x:c>
    </x:row>
    <x:row r="13" ht="156" hidden="0" customHeight="1">
      <x:c r="A13" s="19" t="str">
        <x:v>banner_address_unit</x:v>
      </x:c>
      <x:c r="B13" s="19" t="str">
        <x:v>idx_banner_address_unit_baid</x:v>
      </x:c>
      <x:c r="C13" s="19" t="str">
        <x:v>CREATE INDEX idx_banner_address_unit_baid ON propdb_staging.banner_address_unit USING btree (baid)</x:v>
      </x:c>
    </x:row>
  </x:sheetData>
  <x:mergeCells>
    <x:mergeCell ref="A1:C1"/>
    <x:mergeCell ref="A2:C2"/>
  </x:mergeCells>
  <x:pageMargins left="0.7" right="0.7" top="0.75" bottom="0.75" header="0.3" footer="0.3"/>
  <x:tableParts count="1">
    <x:tablePart xmlns:r="http://schemas.openxmlformats.org/officeDocument/2006/relationships" r:id="R4e739a37acbe454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52" hidden="0" customWidth="1"/>
    <x:col min="2" max="2" width="155" hidden="0" customWidth="1"/>
  </x:cols>
  <x:sheetData>
    <x:row r="1" ht="34" customHeight="1">
      <x:c r="A1" s="36" t="str">
        <x:v>Common SQL Usage</x:v>
      </x:c>
    </x:row>
    <x:row r="2" ht="36" customHeight="1">
      <x:c r="A2" s="37" t="str">
        <x:v>Use BAID for address joins and keep every associated PropID unless a separate business rule explicitly says otherwise.</x:v>
      </x:c>
    </x:row>
    <x:row r="4" ht="28" customHeight="1">
      <x:c r="A4" s="41" t="str">
        <x:v>Task</x:v>
      </x:c>
      <x:c r="B4" s="41" t="str">
        <x:v>SQL example</x:v>
      </x:c>
    </x:row>
    <x:row r="5" ht="288" hidden="0" customHeight="1">
      <x:c r="A5" s="17" t="str">
        <x:v>Find all PropIDs for a base address</x:v>
      </x:c>
      <x:c r="B5" s="17" t="str">
        <x:v>SELECT m.prop_id FROM propdb_staging.banner_address a JOIN propdb_staging.banner_address_prop_id_map m USING (baid) WHERE a.normalized_address = '1 AVON ROAD PYMBLE NSW 2073' ORDER BY m.prop_id;</x:v>
      </x:c>
    </x:row>
    <x:row r="6" ht="240" hidden="0" customHeight="1">
      <x:c r="A6" s="18" t="str">
        <x:v>Find unit addresses for a BAID</x:v>
      </x:c>
      <x:c r="B6" s="18" t="str">
        <x:v>SELECT normalized_unit_address, unit_number, prop_id_count FROM propdb_staging.banner_address_unit WHERE baid = :baid ORDER BY normalized_unit_address;</x:v>
      </x:c>
    </x:row>
    <x:row r="7" ht="348" hidden="0" customHeight="1">
      <x:c r="A7" s="18" t="str">
        <x:v>Resolve a unit to its base address</x:v>
      </x:c>
      <x:c r="B7" s="18" t="str">
        <x:v>SELECT u.normalized_unit_address, a.baid, a.normalized_address FROM propdb_staging.banner_address_unit u JOIN propdb_staging.banner_address a USING (baid) WHERE u.normalized_unit_address = '101/1 AVON ROAD PYMBLE NSW 2073';</x:v>
      </x:c>
    </x:row>
    <x:row r="8" ht="408" hidden="0" customHeight="1">
      <x:c r="A8" s="18" t="str">
        <x:v>Map a PropID to all known addresses</x:v>
      </x:c>
      <x:c r="B8" s="18" t="str">
        <x:v>SELECT m.prop_id, a.baid, a.normalized_address, u.normalized_unit_address FROM propdb_staging.banner_address_prop_id_map m JOIN propdb_staging.banner_address a USING (baid) LEFT JOIN propdb_staging.banner_address_unit u USING (unit_address_id) WHERE m.prop_id = 4158520;</x:v>
      </x:c>
    </x:row>
    <x:row r="9" ht="204" hidden="0" customHeight="1">
      <x:c r="A9" s="19" t="str">
        <x:v>Find addresses with multiple PropIDs</x:v>
      </x:c>
      <x:c r="B9" s="19" t="str">
        <x:v>SELECT baid, normalized_address, prop_id_count FROM propdb_staging.banner_address WHERE prop_id_count &gt; 1 ORDER BY prop_id_count DESC;</x:v>
      </x:c>
    </x:row>
  </x:sheetData>
  <x:mergeCells>
    <x:mergeCell ref="A1:B1"/>
    <x:mergeCell ref="A2:B2"/>
  </x:mergeCells>
  <x:pageMargins left="0.7" right="0.7" top="0.75" bottom="0.75" header="0.3" footer="0.3"/>
  <x:tableParts count="1">
    <x:tablePart xmlns:r="http://schemas.openxmlformats.org/officeDocument/2006/relationships" r:id="Rafe1efe8a4f74ccb"/>
  </x:tableParts>
</x:worksheet>
</file>