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8ee137f90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cdb338236654cdb"/>
    <x:sheet xmlns:r="http://schemas.openxmlformats.org/officeDocument/2006/relationships" name="Candidate Columns" sheetId="2" r:id="R88c2adfb47014524"/>
    <x:sheet xmlns:r="http://schemas.openxmlformats.org/officeDocument/2006/relationships" name="Master Map Columns" sheetId="3" r:id="Ra5e99103285441a2"/>
    <x:sheet xmlns:r="http://schemas.openxmlformats.org/officeDocument/2006/relationships" name="Status Codes" sheetId="4" r:id="R34ce8bfe6e374929"/>
    <x:sheet xmlns:r="http://schemas.openxmlformats.org/officeDocument/2006/relationships" name="Value Domains" sheetId="5" r:id="R6074c3b802534405"/>
    <x:sheet xmlns:r="http://schemas.openxmlformats.org/officeDocument/2006/relationships" name="Mapping Rules" sheetId="6" r:id="R62fe5a36a8bb4620"/>
    <x:sheet xmlns:r="http://schemas.openxmlformats.org/officeDocument/2006/relationships" name="Examples" sheetId="7" r:id="R4ed8b73bb33f4cdf"/>
    <x:sheet xmlns:r="http://schemas.openxmlformats.org/officeDocument/2006/relationships" name="Indexes" sheetId="8" r:id="Rdfb1a551002741a1"/>
    <x:sheet xmlns:r="http://schemas.openxmlformats.org/officeDocument/2006/relationships" name="SQL Usage" sheetId="9" r:id="Rf34d323eb0e3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9">
    <x:font>
      <x:sz val="11"/>
      <x:name val="Carlito"/>
    </x:font>
    <x:font>
      <x:b/>
      <x:sz val="20"/>
      <x:color rgb="FFFFFFFF"/>
      <x:name val="Aptos Display"/>
    </x:font>
    <x:font>
      <x:sz val="10"/>
      <x:color rgb="FF596779"/>
      <x:name val="Aptos"/>
    </x:font>
    <x:font>
      <x:b/>
      <x:sz val="11"/>
      <x:color rgb="FFFFFFFF"/>
      <x:name val="Carlito"/>
    </x:font>
    <x:font>
      <x:sz val="10"/>
      <x:color rgb="FF1F2937"/>
      <x:name val="Aptos"/>
    </x:font>
    <x:font>
      <x:b/>
      <x:sz val="11"/>
      <x:color rgb="FF1F2937"/>
      <x:name val="Carlito"/>
    </x:font>
    <x:font>
      <x:b/>
      <x:sz val="18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  <x:fill>
      <x:patternFill patternType="solid">
        <x:fgColor rgb="FFF2F4F7"/>
      </x:patternFill>
    </x:fill>
  </x:fills>
  <x:borders count="5">
    <x:border/>
    <x:border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top style="thin">
        <x:color rgb="FFC9D2DC"/>
      </x:top>
    </x:border>
    <x:border>
      <x:top style="double">
        <x:color rgb="FF17365D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201" fontId="4" fillId="7" borderId="3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top" wrapText="1"/>
    </x:xf>
    <x:xf numFmtId="201" fontId="8" fillId="7" borderId="3" xfId="0" applyNumberFormat="1" applyFont="1" applyFill="1" applyBorder="1" applyAlignment="1">
      <x:alignment vertical="top" wrapText="1"/>
    </x:xf>
    <x:xf numFmtId="0" fontId="8" fillId="7" borderId="4" xfId="0" applyNumberFormat="1" applyFont="1" applyFill="1" applyBorder="1" applyAlignment="1">
      <x:alignment vertical="top" wrapText="1"/>
    </x:xf>
    <x:xf numFmtId="201" fontId="8" fillId="7" borderId="4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32275a7d24298" /><Relationship Type="http://schemas.openxmlformats.org/officeDocument/2006/relationships/theme" Target="/xl/theme/theme1.xml" Id="R23a3d4e33cdd4514" /><Relationship Type="http://schemas.microsoft.com/office/2022/11/relationships/FeaturePropertyBag" Target="/xl/featurePropertyBag/featurePropertyBag.xml" Id="R1a297073ec29469a" /><Relationship Type="http://schemas.openxmlformats.org/officeDocument/2006/relationships/sharedStrings" Target="/xl/sharedStrings.xml" Id="R65be835ca6fd4f34" /><Relationship Type="http://schemas.openxmlformats.org/officeDocument/2006/relationships/worksheet" Target="/xl/worksheets/sheet1.xml" Id="Recdb338236654cdb" /><Relationship Type="http://schemas.openxmlformats.org/officeDocument/2006/relationships/worksheet" Target="/xl/worksheets/sheet2.xml" Id="R88c2adfb47014524" /><Relationship Type="http://schemas.openxmlformats.org/officeDocument/2006/relationships/worksheet" Target="/xl/worksheets/sheet3.xml" Id="Ra5e99103285441a2" /><Relationship Type="http://schemas.openxmlformats.org/officeDocument/2006/relationships/worksheet" Target="/xl/worksheets/sheet4.xml" Id="R34ce8bfe6e374929" /><Relationship Type="http://schemas.openxmlformats.org/officeDocument/2006/relationships/worksheet" Target="/xl/worksheets/sheet5.xml" Id="R6074c3b802534405" /><Relationship Type="http://schemas.openxmlformats.org/officeDocument/2006/relationships/worksheet" Target="/xl/worksheets/sheet6.xml" Id="R62fe5a36a8bb4620" /><Relationship Type="http://schemas.openxmlformats.org/officeDocument/2006/relationships/worksheet" Target="/xl/worksheets/sheet7.xml" Id="R4ed8b73bb33f4cdf" /><Relationship Type="http://schemas.openxmlformats.org/officeDocument/2006/relationships/worksheet" Target="/xl/worksheets/sheet8.xml" Id="Rdfb1a551002741a1" /><Relationship Type="http://schemas.openxmlformats.org/officeDocument/2006/relationships/worksheet" Target="/xl/worksheets/sheet9.xml" Id="Rf34d323eb0e347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ndidateColumnsTable" displayName="CandidateColumnsTable" ref="A4:I21" headerRowCount="1" totalsRowCount="0" totalsRowShown="0">
  <x:tableColumns count="9">
    <x:tableColumn id="1" name="Position"/>
    <x:tableColumn id="2" name="Column"/>
    <x:tableColumn id="3" name="PostgreSQL type"/>
    <x:tableColumn id="4" name="Nullable"/>
    <x:tableColumn id="5" name="Key / index"/>
    <x:tableColumn id="6" name="Business definition"/>
    <x:tableColumn id="7" name="Derivation / source"/>
    <x:tableColumn id="8" name="Allowed values / format"/>
    <x:tableColumn id="9" name="Examp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ColumnsTable" displayName="MasterColumnsTable" ref="A4:I17" headerRowCount="1" totalsRowCount="0" totalsRowShown="0">
  <x:tableColumns count="9">
    <x:tableColumn id="1" name="Position"/>
    <x:tableColumn id="2" name="Column"/>
    <x:tableColumn id="3" name="PostgreSQL type"/>
    <x:tableColumn id="4" name="Nullable"/>
    <x:tableColumn id="5" name="Key / index"/>
    <x:tableColumn id="6" name="Business definition"/>
    <x:tableColumn id="7" name="Derivation / source"/>
    <x:tableColumn id="8" name="Allowed values / format"/>
    <x:tableColumn id="9" name="Examp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usCodesTable" displayName="StatusCodesTable" ref="A4:G13" headerRowCount="1" totalsRowCount="0" totalsRowShown="0">
  <x:tableColumns count="7">
    <x:tableColumn id="1" name="mapping_status"/>
    <x:tableColumn id="2" name="Typical confidence"/>
    <x:tableColumn id="3" name="Definition"/>
    <x:tableColumn id="4" name="primary_prop_id"/>
    <x:tableColumn id="5" name="Recommended handling"/>
    <x:tableColumn id="6" name="Current rows"/>
    <x:tableColumn id="7" name="% of row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ueDomainsTable" displayName="ValueDomainsTable" ref="A4:D15" headerRowCount="1" totalsRowCount="0" totalsRowShown="0">
  <x:tableColumns count="4">
    <x:tableColumn id="1" name="Column"/>
    <x:tableColumn id="2" name="Value"/>
    <x:tableColumn id="3" name="Current rows"/>
    <x:tableColumn id="4" name="Mean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ppingRulesTable" displayName="MappingRulesTable" ref="A4:D11" headerRowCount="1" totalsRowCount="0" totalsRowShown="0">
  <x:tableColumns count="4">
    <x:tableColumn id="1" name="Order"/>
    <x:tableColumn id="2" name="Rule"/>
    <x:tableColumn id="3" name="Implementation"/>
    <x:tableColumn id="4" name="Example / effe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ppingExamplesTable" displayName="MappingExamplesTable" ref="A4:I12" headerRowCount="1" totalsRowCount="0" totalsRowShown="0">
  <x:tableColumns count="9">
    <x:tableColumn id="1" name="prop_id"/>
    <x:tableColumn id="2" name="canonical_address"/>
    <x:tableColumn id="3" name="primary_prop_id"/>
    <x:tableColumn id="4" name="mapping_status"/>
    <x:tableColumn id="5" name="confidence"/>
    <x:tableColumn id="6" name="recent conflict"/>
    <x:tableColumn id="7" name="valuation basis"/>
    <x:tableColumn id="8" name="latest sale"/>
    <x:tableColumn id="9" name="Interpre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dexesTable" displayName="IndexesTable" ref="A4:E11" headerRowCount="1" totalsRowCount="0" totalsRowShown="0">
  <x:tableColumns count="5">
    <x:tableColumn id="1" name="Table"/>
    <x:tableColumn id="2" name="Index"/>
    <x:tableColumn id="3" name="Type"/>
    <x:tableColumn id="4" name="Column(s)"/>
    <x:tableColumn id="5" name="Purpos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qlUsageTable" displayName="SqlUsageTable" ref="A4:C11" headerRowCount="1" totalsRowCount="0" totalsRowShown="0">
  <x:tableColumns count="3">
    <x:tableColumn id="1" name="Use case"/>
    <x:tableColumn id="2" name="Purpose"/>
    <x:tableColumn id="3" name="SQ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7da641543449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4e7edca78746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fe44ffcda14b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13c546cecf42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96900bec074d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0dcd2ee09541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be772c006542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47c43d35f140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37" hidden="0" customWidth="1"/>
    <x:col min="5" max="5" width="14" hidden="0" customWidth="1"/>
    <x:col min="6" max="6" width="52" hidden="0" customWidth="1"/>
  </x:cols>
  <x:sheetData>
    <x:row r="1" ht="36" customHeight="1">
      <x:c r="A1" s="3" t="str">
        <x:v>NSW Data Universe Mapping - Data Dictionary</x:v>
      </x:c>
    </x:row>
    <x:row r="2" ht="28" customHeight="1">
      <x:c r="A2" s="6" t="str">
        <x:v>Live schema reference for propdb_staging.data_universe_prop_id_candidates and propdb_staging.data_universe_master_map | Generated 2026-07-18</x:v>
      </x:c>
    </x:row>
    <x:row r="4">
      <x:c r="A4" s="9" t="str">
        <x:v>Key metric</x:v>
      </x:c>
      <x:c r="B4" s="9" t="str">
        <x:v>Current value</x:v>
      </x:c>
      <x:c r="D4" s="9" t="str">
        <x:v>Object</x:v>
      </x:c>
      <x:c r="E4" s="9" t="str">
        <x:v>Type</x:v>
      </x:c>
      <x:c r="F4" s="9" t="str">
        <x:v>Purpose</x:v>
      </x:c>
    </x:row>
    <x:row r="5">
      <x:c r="A5" s="17" t="str">
        <x:v>Candidate rows</x:v>
      </x:c>
      <x:c r="B5" s="20" t="n">
        <x:v>3848493</x:v>
      </x:c>
      <x:c r="D5" s="17" t="str">
        <x:v>data_universe_prop_id_candidates</x:v>
      </x:c>
      <x:c r="E5" s="17" t="str">
        <x:v>Table</x:v>
      </x:c>
      <x:c r="F5" s="17" t="str">
        <x:v>One evidence and canonical-address record per data_universe prop_id.</x:v>
      </x:c>
    </x:row>
    <x:row r="6">
      <x:c r="A6" s="18" t="str">
        <x:v>Master-map rows</x:v>
      </x:c>
      <x:c r="B6" s="21" t="n">
        <x:v>3848493</x:v>
      </x:c>
      <x:c r="D6" s="18" t="str">
        <x:v>data_universe_master_map</x:v>
      </x:c>
      <x:c r="E6" s="18" t="str">
        <x:v>Table</x:v>
      </x:c>
      <x:c r="F6" s="18" t="str">
        <x:v>One mapping decision per prop_id, including primary link or review status.</x:v>
      </x:c>
    </x:row>
    <x:row r="7">
      <x:c r="A7" s="18" t="str">
        <x:v>Rows with a primary_prop_id</x:v>
      </x:c>
      <x:c r="B7" s="21" t="n">
        <x:v>3269541</x:v>
      </x:c>
      <x:c r="D7" s="19" t="str">
        <x:v>data_universe_mapping_review</x:v>
      </x:c>
      <x:c r="E7" s="19" t="str">
        <x:v>View</x:v>
      </x:c>
      <x:c r="F7" s="19" t="str">
        <x:v>All unresolved, conflicted, incomplete, or recent-transaction review rows.</x:v>
      </x:c>
    </x:row>
    <x:row r="8">
      <x:c r="A8" s="18" t="str">
        <x:v>Rows in mapping review view</x:v>
      </x:c>
      <x:c r="B8" s="21" t="n">
        <x:v>578952</x:v>
      </x:c>
    </x:row>
    <x:row r="9">
      <x:c r="A9" s="18" t="str">
        <x:v>Original addresses detected with unit prefix</x:v>
      </x:c>
      <x:c r="B9" s="21" t="n">
        <x:v>846407</x:v>
      </x:c>
    </x:row>
    <x:row r="10">
      <x:c r="A10" s="19" t="str">
        <x:v>Database snapshot date</x:v>
      </x:c>
      <x:c r="B10" s="19" t="str">
        <x:v>2026-07-18</x:v>
      </x:c>
    </x:row>
    <x:row r="12">
      <x:c r="A12" s="23" t="str">
        <x:v>Interpretation warning</x:v>
      </x:c>
    </x:row>
    <x:row r="13">
      <x:c r="A13" s="27" t="str">
        <x:v>primary means the preferred project mapping identifier, not a legal or government-declared primary parcel ID. obsolete_candidate is not confirmed expiry. Always use mapping_status before mapping_confidence; all review_* statuses require review even if confidence currently says high or medium.</x:v>
      </x:c>
    </x:row>
  </x:sheetData>
  <x:mergeCells>
    <x:mergeCell ref="A1:F1"/>
    <x:mergeCell ref="A2:F2"/>
    <x:mergeCell ref="A12:F12"/>
    <x:mergeCell ref="A13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22" hidden="0" customWidth="1"/>
    <x:col min="4" max="4" width="11" hidden="0" customWidth="1"/>
    <x:col min="5" max="5" width="20" hidden="0" customWidth="1"/>
    <x:col min="6" max="6" width="45" hidden="0" customWidth="1"/>
    <x:col min="7" max="7" width="54" hidden="0" customWidth="1"/>
    <x:col min="8" max="8" width="42" hidden="0" customWidth="1"/>
    <x:col min="9" max="9" width="29" hidden="0" customWidth="1"/>
  </x:cols>
  <x:sheetData>
    <x:row r="1" ht="32" customHeight="1">
      <x:c r="A1" s="29" t="str">
        <x:v>Candidate Table - Column Dictionary</x:v>
      </x:c>
    </x:row>
    <x:row r="2" ht="32" customHeight="1">
      <x:c r="A2" s="30" t="str">
        <x:v>One row per data_universe prop_id. This table preserves source evidence and derives the canonical parcel address used by the master map.</x:v>
      </x:c>
    </x:row>
    <x:row r="4" ht="28" customHeight="1">
      <x:c r="A4" s="33" t="str">
        <x:v>Position</x:v>
      </x:c>
      <x:c r="B4" s="33" t="str">
        <x:v>Column</x:v>
      </x:c>
      <x:c r="C4" s="33" t="str">
        <x:v>PostgreSQL type</x:v>
      </x:c>
      <x:c r="D4" s="33" t="str">
        <x:v>Nullable</x:v>
      </x:c>
      <x:c r="E4" s="33" t="str">
        <x:v>Key / index</x:v>
      </x:c>
      <x:c r="F4" s="33" t="str">
        <x:v>Business definition</x:v>
      </x:c>
      <x:c r="G4" s="33" t="str">
        <x:v>Derivation / source</x:v>
      </x:c>
      <x:c r="H4" s="33" t="str">
        <x:v>Allowed values / format</x:v>
      </x:c>
      <x:c r="I4" s="33" t="str">
        <x:v>Example</x:v>
      </x:c>
    </x:row>
    <x:row r="5" ht="84" hidden="0" customHeight="1">
      <x:c r="A5" s="17" t="n">
        <x:v>1</x:v>
      </x:c>
      <x:c r="B5" s="17" t="str">
        <x:v>prop_id</x:v>
      </x:c>
      <x:c r="C5" s="17" t="str">
        <x:v>bigint</x:v>
      </x:c>
      <x:c r="D5" s="17" t="str">
        <x:v>No</x:v>
      </x:c>
      <x:c r="E5" s="17" t="str">
        <x:v>Primary key; indexed</x:v>
      </x:c>
      <x:c r="F5" s="17" t="str">
        <x:v>Property/parcel identifier inherited from data_universe.</x:v>
      </x:c>
      <x:c r="G5" s="17" t="str">
        <x:v>propdb_staging.data_universe.prop_id</x:v>
      </x:c>
      <x:c r="H5" s="17" t="str">
        <x:v>Unique bigint</x:v>
      </x:c>
      <x:c r="I5" s="17" t="str">
        <x:v>4158520</x:v>
      </x:c>
    </x:row>
    <x:row r="6" ht="96" hidden="0" customHeight="1">
      <x:c r="A6" s="18" t="n">
        <x:v>2</x:v>
      </x:c>
      <x:c r="B6" s="18" t="str">
        <x:v>original_address</x:v>
      </x:c>
      <x:c r="C6" s="18" t="str">
        <x:v>text</x:v>
      </x:c>
      <x:c r="D6" s="18" t="str">
        <x:v>Yes</x:v>
      </x:c>
      <x:c r="E6" s="18" t="str">
        <x:v>-</x:v>
      </x:c>
      <x:c r="F6" s="18" t="str">
        <x:v>Address selected in the source data_universe before mapping normalization.</x:v>
      </x:c>
      <x:c r="G6" s="18" t="str">
        <x:v>data_universe.address</x:v>
      </x:c>
      <x:c r="H6" s="18" t="str">
        <x:v>Free text; may be blank, incomplete, or unit-level</x:v>
      </x:c>
      <x:c r="I6" s="18" t="str">
        <x:v>1 AVON RD, PYMBLE NSW 2073</x:v>
      </x:c>
    </x:row>
    <x:row r="7" ht="204" hidden="0" customHeight="1">
      <x:c r="A7" s="18" t="n">
        <x:v>3</x:v>
      </x:c>
      <x:c r="B7" s="18" t="str">
        <x:v>canonical_address</x:v>
      </x:c>
      <x:c r="C7" s="18" t="str">
        <x:v>text</x:v>
      </x:c>
      <x:c r="D7" s="18" t="str">
        <x:v>Yes</x:v>
      </x:c>
      <x:c r="E7" s="18" t="str">
        <x:v>Indexed</x:v>
      </x:c>
      <x:c r="F7" s="18" t="str">
        <x:v>Normalized parcel-level address used for grouping prop_ids.</x:v>
      </x:c>
      <x:c r="G7" s="18" t="str">
        <x:v>Land Valuation address when unique; otherwise normalized data_universe address; unique property_source base is final fallback.</x:v>
      </x:c>
      <x:c r="H7" s="18" t="str">
        <x:v>Uppercase; leading unit removed; NSW/postcode removed; street suffix expanded</x:v>
      </x:c>
      <x:c r="I7" s="18" t="str">
        <x:v>1 AVON ROAD PYMBLE</x:v>
      </x:c>
    </x:row>
    <x:row r="8" ht="84" hidden="0" customHeight="1">
      <x:c r="A8" s="18" t="n">
        <x:v>4</x:v>
      </x:c>
      <x:c r="B8" s="18" t="str">
        <x:v>canonical_address_source</x:v>
      </x:c>
      <x:c r="C8" s="18" t="str">
        <x:v>text</x:v>
      </x:c>
      <x:c r="D8" s="18" t="str">
        <x:v>Yes</x:v>
      </x:c>
      <x:c r="E8" s="18" t="str">
        <x:v>-</x:v>
      </x:c>
      <x:c r="F8" s="18" t="str">
        <x:v>Source selected for canonical_address.</x:v>
      </x:c>
      <x:c r="G8" s="18" t="str">
        <x:v>Derived by source-priority rule.</x:v>
      </x:c>
      <x:c r="H8" s="18" t="str">
        <x:v>land_valuation | data_universe | property_source | none</x:v>
      </x:c>
      <x:c r="I8" s="18" t="str">
        <x:v>land_valuation</x:v>
      </x:c>
    </x:row>
    <x:row r="9" ht="108" hidden="0" customHeight="1">
      <x:c r="A9" s="18" t="n">
        <x:v>5</x:v>
      </x:c>
      <x:c r="B9" s="18" t="str">
        <x:v>data_universe_address_has_unit</x:v>
      </x:c>
      <x:c r="C9" s="18" t="str">
        <x:v>boolean</x:v>
      </x:c>
      <x:c r="D9" s="18" t="str">
        <x:v>Yes</x:v>
      </x:c>
      <x:c r="E9" s="18" t="str">
        <x:v>-</x:v>
      </x:c>
      <x:c r="F9" s="18" t="str">
        <x:v>True when original_address starts with a recognized unit prefix such as 1001/.</x:v>
      </x:c>
      <x:c r="G9" s="18" t="str">
        <x:v>address_has_unit_number(data_universe.address)</x:v>
      </x:c>
      <x:c r="H9" s="18" t="str">
        <x:v>true | false</x:v>
      </x:c>
      <x:c r="I9" s="18" t="str">
        <x:v>false</x:v>
      </x:c>
    </x:row>
    <x:row r="10" ht="132" hidden="0" customHeight="1">
      <x:c r="A10" s="18" t="n">
        <x:v>6</x:v>
      </x:c>
      <x:c r="B10" s="18" t="str">
        <x:v>property_source_has_unit_addresses</x:v>
      </x:c>
      <x:c r="C10" s="18" t="str">
        <x:v>boolean</x:v>
      </x:c>
      <x:c r="D10" s="18" t="str">
        <x:v>Yes</x:v>
      </x:c>
      <x:c r="E10" s="18" t="str">
        <x:v>-</x:v>
      </x:c>
      <x:c r="F10" s="18" t="str">
        <x:v>True when any property_source address for the prop_id has a recognized leading unit prefix.</x:v>
      </x:c>
      <x:c r="G10" s="18" t="str">
        <x:v>Boolean aggregation over nsw_property_source.</x:v>
      </x:c>
      <x:c r="H10" s="18" t="str">
        <x:v>true | false</x:v>
      </x:c>
      <x:c r="I10" s="18" t="str">
        <x:v>true</x:v>
      </x:c>
    </x:row>
    <x:row r="11" ht="120" hidden="0" customHeight="1">
      <x:c r="A11" s="18" t="n">
        <x:v>7</x:v>
      </x:c>
      <x:c r="B11" s="18" t="str">
        <x:v>property_source_base_address_count</x:v>
      </x:c>
      <x:c r="C11" s="18" t="str">
        <x:v>integer</x:v>
      </x:c>
      <x:c r="D11" s="18" t="str">
        <x:v>Yes</x:v>
      </x:c>
      <x:c r="E11" s="18" t="str">
        <x:v>-</x:v>
      </x:c>
      <x:c r="F11" s="18" t="str">
        <x:v>Number of distinct normalized base addresses found in property_source for the prop_id.</x:v>
      </x:c>
      <x:c r="G11" s="18" t="str">
        <x:v>Distinct count after unit removal and normalization.</x:v>
      </x:c>
      <x:c r="H11" s="18" t="str">
        <x:v>0 or positive integer</x:v>
      </x:c>
      <x:c r="I11" s="18" t="str">
        <x:v>1</x:v>
      </x:c>
    </x:row>
    <x:row r="12" ht="96" hidden="0" customHeight="1">
      <x:c r="A12" s="18" t="n">
        <x:v>8</x:v>
      </x:c>
      <x:c r="B12" s="18" t="str">
        <x:v>has_land_valuation</x:v>
      </x:c>
      <x:c r="C12" s="18" t="str">
        <x:v>boolean</x:v>
      </x:c>
      <x:c r="D12" s="18" t="str">
        <x:v>Yes</x:v>
      </x:c>
      <x:c r="E12" s="18" t="str">
        <x:v>-</x:v>
      </x:c>
      <x:c r="F12" s="18" t="str">
        <x:v>Whether the prop_id appears in any of the three Land Valuation tables.</x:v>
      </x:c>
      <x:c r="G12" s="18" t="str">
        <x:v>Union of urban, semi and rural valuation propid values.</x:v>
      </x:c>
      <x:c r="H12" s="18" t="str">
        <x:v>true | false</x:v>
      </x:c>
      <x:c r="I12" s="18" t="str">
        <x:v>true</x:v>
      </x:c>
    </x:row>
    <x:row r="13" ht="96" hidden="0" customHeight="1">
      <x:c r="A13" s="18" t="n">
        <x:v>9</x:v>
      </x:c>
      <x:c r="B13" s="18" t="str">
        <x:v>land_valuation_address_count</x:v>
      </x:c>
      <x:c r="C13" s="18" t="str">
        <x:v>integer</x:v>
      </x:c>
      <x:c r="D13" s="18" t="str">
        <x:v>Yes</x:v>
      </x:c>
      <x:c r="E13" s="18" t="str">
        <x:v>-</x:v>
      </x:c>
      <x:c r="F13" s="18" t="str">
        <x:v>Distinct normalized Land Valuation addresses associated with the prop_id.</x:v>
      </x:c>
      <x:c r="G13" s="18" t="str">
        <x:v>Distinct count across urban, semi and rural valuation rows.</x:v>
      </x:c>
      <x:c r="H13" s="18" t="str">
        <x:v>0 or positive integer</x:v>
      </x:c>
      <x:c r="I13" s="18" t="str">
        <x:v>1</x:v>
      </x:c>
    </x:row>
    <x:row r="14" ht="96" hidden="0" customHeight="1">
      <x:c r="A14" s="18" t="n">
        <x:v>10</x:v>
      </x:c>
      <x:c r="B14" s="18" t="str">
        <x:v>land_valuation_address_conflict</x:v>
      </x:c>
      <x:c r="C14" s="18" t="str">
        <x:v>boolean</x:v>
      </x:c>
      <x:c r="D14" s="18" t="str">
        <x:v>Yes</x:v>
      </x:c>
      <x:c r="E14" s="18" t="str">
        <x:v>-</x:v>
      </x:c>
      <x:c r="F14" s="18" t="str">
        <x:v>True when a prop_id has more than one normalized Land Valuation address.</x:v>
      </x:c>
      <x:c r="G14" s="18" t="str">
        <x:v>land_valuation_address_count &gt; 1</x:v>
      </x:c>
      <x:c r="H14" s="18" t="str">
        <x:v>true | false</x:v>
      </x:c>
      <x:c r="I14" s="18" t="str">
        <x:v>false</x:v>
      </x:c>
    </x:row>
    <x:row r="15" ht="108" hidden="0" customHeight="1">
      <x:c r="A15" s="18" t="n">
        <x:v>11</x:v>
      </x:c>
      <x:c r="B15" s="18" t="str">
        <x:v>valuation_tables</x:v>
      </x:c>
      <x:c r="C15" s="18" t="str">
        <x:v>text</x:v>
      </x:c>
      <x:c r="D15" s="18" t="str">
        <x:v>Yes</x:v>
      </x:c>
      <x:c r="E15" s="18" t="str">
        <x:v>-</x:v>
      </x:c>
      <x:c r="F15" s="18" t="str">
        <x:v>Comma-separated Land Valuation source tables containing the prop_id.</x:v>
      </x:c>
      <x:c r="G15" s="18" t="str">
        <x:v>Distinct source labels from the valuation union.</x:v>
      </x:c>
      <x:c r="H15" s="18" t="str">
        <x:v>urban | semi | rural, possibly combined</x:v>
      </x:c>
      <x:c r="I15" s="18" t="str">
        <x:v>urban</x:v>
      </x:c>
    </x:row>
    <x:row r="16" ht="96" hidden="0" customHeight="1">
      <x:c r="A16" s="18" t="n">
        <x:v>12</x:v>
      </x:c>
      <x:c r="B16" s="18" t="str">
        <x:v>latest_valuation_basis_date</x:v>
      </x:c>
      <x:c r="C16" s="18" t="str">
        <x:v>date</x:v>
      </x:c>
      <x:c r="D16" s="18" t="str">
        <x:v>Yes</x:v>
      </x:c>
      <x:c r="E16" s="18" t="str">
        <x:v>-</x:v>
      </x:c>
      <x:c r="F16" s="18" t="str">
        <x:v>Latest available valuation basis date across val1_bd through val5_bd.</x:v>
      </x:c>
      <x:c r="G16" s="18" t="str">
        <x:v>Maximum date across the matched Land Valuation records.</x:v>
      </x:c>
      <x:c r="H16" s="18" t="str">
        <x:v>Date</x:v>
      </x:c>
      <x:c r="I16" s="18" t="str">
        <x:v>2025-07-01</x:v>
      </x:c>
    </x:row>
    <x:row r="17" ht="96" hidden="0" customHeight="1">
      <x:c r="A17" s="18" t="n">
        <x:v>13</x:v>
      </x:c>
      <x:c r="B17" s="18" t="str">
        <x:v>latest_valuation_validity_date</x:v>
      </x:c>
      <x:c r="C17" s="18" t="str">
        <x:v>date</x:v>
      </x:c>
      <x:c r="D17" s="18" t="str">
        <x:v>Yes</x:v>
      </x:c>
      <x:c r="E17" s="18" t="str">
        <x:v>-</x:v>
      </x:c>
      <x:c r="F17" s="18" t="str">
        <x:v>Latest validity date on the matched Land Valuation records.</x:v>
      </x:c>
      <x:c r="G17" s="18" t="str">
        <x:v>Maximum validity_d.</x:v>
      </x:c>
      <x:c r="H17" s="18" t="str">
        <x:v>Date</x:v>
      </x:c>
      <x:c r="I17" s="18" t="str">
        <x:v>2025-12-07</x:v>
      </x:c>
    </x:row>
    <x:row r="18" ht="72" hidden="0" customHeight="1">
      <x:c r="A18" s="18" t="n">
        <x:v>14</x:v>
      </x:c>
      <x:c r="B18" s="18" t="str">
        <x:v>latest_sale_date</x:v>
      </x:c>
      <x:c r="C18" s="18" t="str">
        <x:v>date</x:v>
      </x:c>
      <x:c r="D18" s="18" t="str">
        <x:v>Yes</x:v>
      </x:c>
      <x:c r="E18" s="18" t="str">
        <x:v>Indexed descending</x:v>
      </x:c>
      <x:c r="F18" s="18" t="str">
        <x:v>Latest sale transaction date found for the prop_id.</x:v>
      </x:c>
      <x:c r="G18" s="18" t="str">
        <x:v>Maximum nsw_property_sales_all_history.sale_date.</x:v>
      </x:c>
      <x:c r="H18" s="18" t="str">
        <x:v>Date</x:v>
      </x:c>
      <x:c r="I18" s="18" t="str">
        <x:v>2026-04-02</x:v>
      </x:c>
    </x:row>
    <x:row r="19" ht="120" hidden="0" customHeight="1">
      <x:c r="A19" s="18" t="n">
        <x:v>15</x:v>
      </x:c>
      <x:c r="B19" s="18" t="str">
        <x:v>latest_property_update</x:v>
      </x:c>
      <x:c r="C19" s="18" t="str">
        <x:v>timestamp with time zone</x:v>
      </x:c>
      <x:c r="D19" s="18" t="str">
        <x:v>Yes</x:v>
      </x:c>
      <x:c r="E19" s="18" t="str">
        <x:v>-</x:v>
      </x:c>
      <x:c r="F19" s="18" t="str">
        <x:v>Latest property-source update timestamp.</x:v>
      </x:c>
      <x:c r="G19" s="18" t="str">
        <x:v>Maximum nsw_property_source.lastupdate converted from epoch milliseconds.</x:v>
      </x:c>
      <x:c r="H19" s="18" t="str">
        <x:v>Timestamp</x:v>
      </x:c>
      <x:c r="I19" s="18" t="str">
        <x:v>2018-10-17 05:10+00</x:v>
      </x:c>
    </x:row>
    <x:row r="20" ht="132" hidden="0" customHeight="1">
      <x:c r="A20" s="18" t="n">
        <x:v>16</x:v>
      </x:c>
      <x:c r="B20" s="18" t="str">
        <x:v>activity_evidence</x:v>
      </x:c>
      <x:c r="C20" s="18" t="str">
        <x:v>text</x:v>
      </x:c>
      <x:c r="D20" s="18" t="str">
        <x:v>Yes</x:v>
      </x:c>
      <x:c r="E20" s="18" t="str">
        <x:v>-</x:v>
      </x:c>
      <x:c r="F20" s="18" t="str">
        <x:v>Strongest evidence category available for the prop_id.</x:v>
      </x:c>
      <x:c r="G20" s="18" t="str">
        <x:v>Land Valuation first, then sales history, then property source, then data_universe only.</x:v>
      </x:c>
      <x:c r="H20" s="18" t="str">
        <x:v>land_valuation | sale_history_only | property_source_only | data_universe_only</x:v>
      </x:c>
      <x:c r="I20" s="18" t="str">
        <x:v>land_valuation</x:v>
      </x:c>
    </x:row>
    <x:row r="21" ht="72" hidden="0" customHeight="1">
      <x:c r="A21" s="19" t="n">
        <x:v>17</x:v>
      </x:c>
      <x:c r="B21" s="19" t="str">
        <x:v>generated_at</x:v>
      </x:c>
      <x:c r="C21" s="19" t="str">
        <x:v>timestamp with time zone</x:v>
      </x:c>
      <x:c r="D21" s="19" t="str">
        <x:v>Yes</x:v>
      </x:c>
      <x:c r="E21" s="19" t="str">
        <x:v>-</x:v>
      </x:c>
      <x:c r="F21" s="19" t="str">
        <x:v>Timestamp when the mapping build generated the row.</x:v>
      </x:c>
      <x:c r="G21" s="19" t="str">
        <x:v>Database now() during build.</x:v>
      </x:c>
      <x:c r="H21" s="19" t="str">
        <x:v>Timestamp</x:v>
      </x:c>
      <x:c r="I21" s="19" t="str">
        <x:v>2026-07-18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57da641543449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6" hidden="0" customWidth="1"/>
    <x:col min="3" max="3" width="22" hidden="0" customWidth="1"/>
    <x:col min="4" max="4" width="11" hidden="0" customWidth="1"/>
    <x:col min="5" max="5" width="20" hidden="0" customWidth="1"/>
    <x:col min="6" max="6" width="47" hidden="0" customWidth="1"/>
    <x:col min="7" max="7" width="50" hidden="0" customWidth="1"/>
    <x:col min="8" max="8" width="40" hidden="0" customWidth="1"/>
    <x:col min="9" max="9" width="28" hidden="0" customWidth="1"/>
  </x:cols>
  <x:sheetData>
    <x:row r="1" ht="32" customHeight="1">
      <x:c r="A1" s="29" t="str">
        <x:v>Master Map - Column Dictionary</x:v>
      </x:c>
    </x:row>
    <x:row r="2" ht="32" customHeight="1">
      <x:c r="A2" s="30" t="str">
        <x:v>One row per prop_id. Use primary_prop_id only when mapping_status permits automatic mapping; review rows intentionally keep primary_prop_id null.</x:v>
      </x:c>
    </x:row>
    <x:row r="4" ht="28" customHeight="1">
      <x:c r="A4" s="33" t="str">
        <x:v>Position</x:v>
      </x:c>
      <x:c r="B4" s="33" t="str">
        <x:v>Column</x:v>
      </x:c>
      <x:c r="C4" s="33" t="str">
        <x:v>PostgreSQL type</x:v>
      </x:c>
      <x:c r="D4" s="33" t="str">
        <x:v>Nullable</x:v>
      </x:c>
      <x:c r="E4" s="33" t="str">
        <x:v>Key / index</x:v>
      </x:c>
      <x:c r="F4" s="33" t="str">
        <x:v>Business definition</x:v>
      </x:c>
      <x:c r="G4" s="33" t="str">
        <x:v>Derivation / source</x:v>
      </x:c>
      <x:c r="H4" s="33" t="str">
        <x:v>Allowed values / format</x:v>
      </x:c>
      <x:c r="I4" s="33" t="str">
        <x:v>Example</x:v>
      </x:c>
    </x:row>
    <x:row r="5" ht="60" hidden="0" customHeight="1">
      <x:c r="A5" s="17" t="n">
        <x:v>1</x:v>
      </x:c>
      <x:c r="B5" s="17" t="str">
        <x:v>prop_id</x:v>
      </x:c>
      <x:c r="C5" s="17" t="str">
        <x:v>bigint</x:v>
      </x:c>
      <x:c r="D5" s="17" t="str">
        <x:v>No</x:v>
      </x:c>
      <x:c r="E5" s="17" t="str">
        <x:v>Primary key; indexed</x:v>
      </x:c>
      <x:c r="F5" s="17" t="str">
        <x:v>Input prop_id receiving a mapping decision.</x:v>
      </x:c>
      <x:c r="G5" s="17" t="str">
        <x:v>Candidate table prop_id.</x:v>
      </x:c>
      <x:c r="H5" s="17" t="str">
        <x:v>Unique bigint</x:v>
      </x:c>
      <x:c r="I5" s="17" t="str">
        <x:v>684589</x:v>
      </x:c>
    </x:row>
    <x:row r="6" ht="84" hidden="0" customHeight="1">
      <x:c r="A6" s="18" t="n">
        <x:v>2</x:v>
      </x:c>
      <x:c r="B6" s="18" t="str">
        <x:v>canonical_address</x:v>
      </x:c>
      <x:c r="C6" s="18" t="str">
        <x:v>text</x:v>
      </x:c>
      <x:c r="D6" s="18" t="str">
        <x:v>Yes</x:v>
      </x:c>
      <x:c r="E6" s="18" t="str">
        <x:v>Indexed</x:v>
      </x:c>
      <x:c r="F6" s="18" t="str">
        <x:v>Normalized parcel-level address used to compare IDs.</x:v>
      </x:c>
      <x:c r="G6" s="18" t="str">
        <x:v>Candidate table canonical_address.</x:v>
      </x:c>
      <x:c r="H6" s="18" t="str">
        <x:v>Normalized uppercase address</x:v>
      </x:c>
      <x:c r="I6" s="18" t="str">
        <x:v>1 AVON ROAD PYMBLE</x:v>
      </x:c>
    </x:row>
    <x:row r="7" ht="156" hidden="0" customHeight="1">
      <x:c r="A7" s="18" t="n">
        <x:v>3</x:v>
      </x:c>
      <x:c r="B7" s="18" t="str">
        <x:v>primary_prop_id</x:v>
      </x:c>
      <x:c r="C7" s="18" t="str">
        <x:v>bigint</x:v>
      </x:c>
      <x:c r="D7" s="18" t="str">
        <x:v>Yes</x:v>
      </x:c>
      <x:c r="E7" s="18" t="str">
        <x:v>Indexed</x:v>
      </x:c>
      <x:c r="F7" s="18" t="str">
        <x:v>Preferred project mapping ID. Null means the row is unresolved and must not be collapsed automatically.</x:v>
      </x:c>
      <x:c r="G7" s="18" t="str">
        <x:v>Selected only by mapping-status rules.</x:v>
      </x:c>
      <x:c r="H7" s="18" t="str">
        <x:v>Self, another prop_id, or null</x:v>
      </x:c>
      <x:c r="I7" s="18" t="str">
        <x:v>4158520</x:v>
      </x:c>
    </x:row>
    <x:row r="8" ht="108" hidden="0" customHeight="1">
      <x:c r="A8" s="18" t="n">
        <x:v>4</x:v>
      </x:c>
      <x:c r="B8" s="18" t="str">
        <x:v>mapping_status</x:v>
      </x:c>
      <x:c r="C8" s="18" t="str">
        <x:v>text</x:v>
      </x:c>
      <x:c r="D8" s="18" t="str">
        <x:v>Yes</x:v>
      </x:c>
      <x:c r="E8" s="18" t="str">
        <x:v>Indexed</x:v>
      </x:c>
      <x:c r="F8" s="18" t="str">
        <x:v>Decision outcome controlling whether the row can be mapped automatically.</x:v>
      </x:c>
      <x:c r="G8" s="18" t="str">
        <x:v>Ordered primary-selection and review rules.</x:v>
      </x:c>
      <x:c r="H8" s="18" t="str">
        <x:v>See Status Codes sheet</x:v>
      </x:c>
      <x:c r="I8" s="18" t="str">
        <x:v>obsolete_candidate</x:v>
      </x:c>
    </x:row>
    <x:row r="9" ht="108" hidden="0" customHeight="1">
      <x:c r="A9" s="18" t="n">
        <x:v>5</x:v>
      </x:c>
      <x:c r="B9" s="18" t="str">
        <x:v>mapping_confidence</x:v>
      </x:c>
      <x:c r="C9" s="18" t="str">
        <x:v>text</x:v>
      </x:c>
      <x:c r="D9" s="18" t="str">
        <x:v>Yes</x:v>
      </x:c>
      <x:c r="E9" s="18" t="str">
        <x:v>-</x:v>
      </x:c>
      <x:c r="F9" s="18" t="str">
        <x:v>Coarse confidence label. mapping_status takes precedence.</x:v>
      </x:c>
      <x:c r="G9" s="18" t="str">
        <x:v>Derived from unique Land Valuation evidence or singleton status.</x:v>
      </x:c>
      <x:c r="H9" s="18" t="str">
        <x:v>high | medium | review</x:v>
      </x:c>
      <x:c r="I9" s="18" t="str">
        <x:v>high</x:v>
      </x:c>
    </x:row>
    <x:row r="10" ht="204" hidden="0" customHeight="1">
      <x:c r="A10" s="18" t="n">
        <x:v>6</x:v>
      </x:c>
      <x:c r="B10" s="18" t="str">
        <x:v>recent_transaction_conflict</x:v>
      </x:c>
      <x:c r="C10" s="18" t="str">
        <x:v>boolean</x:v>
      </x:c>
      <x:c r="D10" s="18" t="str">
        <x:v>Yes</x:v>
      </x:c>
      <x:c r="E10" s="18" t="str">
        <x:v>-</x:v>
      </x:c>
      <x:c r="F10" s="18" t="str">
        <x:v>True when a competing non-valuation ID has a sale on/after the selected valuation primary's latest basis date, or the primary basis date is absent.</x:v>
      </x:c>
      <x:c r="G10" s="18" t="str">
        <x:v>Date comparison safeguard.</x:v>
      </x:c>
      <x:c r="H10" s="18" t="str">
        <x:v>true | false</x:v>
      </x:c>
      <x:c r="I10" s="18" t="str">
        <x:v>false</x:v>
      </x:c>
    </x:row>
    <x:row r="11" ht="84" hidden="0" customHeight="1">
      <x:c r="A11" s="18" t="n">
        <x:v>7</x:v>
      </x:c>
      <x:c r="B11" s="18" t="str">
        <x:v>prop_ids_at_address</x:v>
      </x:c>
      <x:c r="C11" s="18" t="str">
        <x:v>integer</x:v>
      </x:c>
      <x:c r="D11" s="18" t="str">
        <x:v>Yes</x:v>
      </x:c>
      <x:c r="E11" s="18" t="str">
        <x:v>-</x:v>
      </x:c>
      <x:c r="F11" s="18" t="str">
        <x:v>Number of candidate prop_ids sharing the canonical address.</x:v>
      </x:c>
      <x:c r="G11" s="18" t="str">
        <x:v>Grouped count by canonical_address.</x:v>
      </x:c>
      <x:c r="H11" s="18" t="str">
        <x:v>Positive integer</x:v>
      </x:c>
      <x:c r="I11" s="18" t="str">
        <x:v>3</x:v>
      </x:c>
    </x:row>
    <x:row r="12" ht="96" hidden="0" customHeight="1">
      <x:c r="A12" s="18" t="n">
        <x:v>8</x:v>
      </x:c>
      <x:c r="B12" s="18" t="str">
        <x:v>land_valuation_prop_ids_at_address</x:v>
      </x:c>
      <x:c r="C12" s="18" t="str">
        <x:v>integer</x:v>
      </x:c>
      <x:c r="D12" s="18" t="str">
        <x:v>Yes</x:v>
      </x:c>
      <x:c r="E12" s="18" t="str">
        <x:v>-</x:v>
      </x:c>
      <x:c r="F12" s="18" t="str">
        <x:v>Number of non-conflicted Land Valuation prop_ids at the canonical address.</x:v>
      </x:c>
      <x:c r="G12" s="18" t="str">
        <x:v>Conditional grouped count.</x:v>
      </x:c>
      <x:c r="H12" s="18" t="str">
        <x:v>0 or positive integer</x:v>
      </x:c>
      <x:c r="I12" s="18" t="str">
        <x:v>1</x:v>
      </x:c>
    </x:row>
    <x:row r="13" ht="60" hidden="0" customHeight="1">
      <x:c r="A13" s="18" t="n">
        <x:v>9</x:v>
      </x:c>
      <x:c r="B13" s="18" t="str">
        <x:v>latest_valuation_basis_date</x:v>
      </x:c>
      <x:c r="C13" s="18" t="str">
        <x:v>date</x:v>
      </x:c>
      <x:c r="D13" s="18" t="str">
        <x:v>Yes</x:v>
      </x:c>
      <x:c r="E13" s="18" t="str">
        <x:v>-</x:v>
      </x:c>
      <x:c r="F13" s="18" t="str">
        <x:v>Latest valuation basis date for this prop_id.</x:v>
      </x:c>
      <x:c r="G13" s="18" t="str">
        <x:v>Candidate table value.</x:v>
      </x:c>
      <x:c r="H13" s="18" t="str">
        <x:v>Date</x:v>
      </x:c>
      <x:c r="I13" s="18" t="str">
        <x:v>2025-07-01</x:v>
      </x:c>
    </x:row>
    <x:row r="14" ht="72" hidden="0" customHeight="1">
      <x:c r="A14" s="18" t="n">
        <x:v>10</x:v>
      </x:c>
      <x:c r="B14" s="18" t="str">
        <x:v>latest_valuation_validity_date</x:v>
      </x:c>
      <x:c r="C14" s="18" t="str">
        <x:v>date</x:v>
      </x:c>
      <x:c r="D14" s="18" t="str">
        <x:v>Yes</x:v>
      </x:c>
      <x:c r="E14" s="18" t="str">
        <x:v>-</x:v>
      </x:c>
      <x:c r="F14" s="18" t="str">
        <x:v>Latest valuation validity date for this prop_id.</x:v>
      </x:c>
      <x:c r="G14" s="18" t="str">
        <x:v>Candidate table value.</x:v>
      </x:c>
      <x:c r="H14" s="18" t="str">
        <x:v>Date</x:v>
      </x:c>
      <x:c r="I14" s="18" t="str">
        <x:v>2025-12-07</x:v>
      </x:c>
    </x:row>
    <x:row r="15" ht="60" hidden="0" customHeight="1">
      <x:c r="A15" s="18" t="n">
        <x:v>11</x:v>
      </x:c>
      <x:c r="B15" s="18" t="str">
        <x:v>latest_sale_date</x:v>
      </x:c>
      <x:c r="C15" s="18" t="str">
        <x:v>date</x:v>
      </x:c>
      <x:c r="D15" s="18" t="str">
        <x:v>Yes</x:v>
      </x:c>
      <x:c r="E15" s="18" t="str">
        <x:v>-</x:v>
      </x:c>
      <x:c r="F15" s="18" t="str">
        <x:v>Latest transaction date for this prop_id.</x:v>
      </x:c>
      <x:c r="G15" s="18" t="str">
        <x:v>Candidate table value.</x:v>
      </x:c>
      <x:c r="H15" s="18" t="str">
        <x:v>Date</x:v>
      </x:c>
      <x:c r="I15" s="18" t="str">
        <x:v>2014-12-02</x:v>
      </x:c>
    </x:row>
    <x:row r="16" ht="60" hidden="0" customHeight="1">
      <x:c r="A16" s="18" t="n">
        <x:v>12</x:v>
      </x:c>
      <x:c r="B16" s="18" t="str">
        <x:v>activity_evidence</x:v>
      </x:c>
      <x:c r="C16" s="18" t="str">
        <x:v>text</x:v>
      </x:c>
      <x:c r="D16" s="18" t="str">
        <x:v>Yes</x:v>
      </x:c>
      <x:c r="E16" s="18" t="str">
        <x:v>-</x:v>
      </x:c>
      <x:c r="F16" s="18" t="str">
        <x:v>Strongest evidence category for this prop_id.</x:v>
      </x:c>
      <x:c r="G16" s="18" t="str">
        <x:v>Candidate table value.</x:v>
      </x:c>
      <x:c r="H16" s="18" t="str">
        <x:v>See Value Domains sheet</x:v>
      </x:c>
      <x:c r="I16" s="18" t="str">
        <x:v>sale_history_only</x:v>
      </x:c>
    </x:row>
    <x:row r="17" ht="72" hidden="0" customHeight="1">
      <x:c r="A17" s="19" t="n">
        <x:v>13</x:v>
      </x:c>
      <x:c r="B17" s="19" t="str">
        <x:v>generated_at</x:v>
      </x:c>
      <x:c r="C17" s="19" t="str">
        <x:v>timestamp with time zone</x:v>
      </x:c>
      <x:c r="D17" s="19" t="str">
        <x:v>Yes</x:v>
      </x:c>
      <x:c r="E17" s="19" t="str">
        <x:v>-</x:v>
      </x:c>
      <x:c r="F17" s="19" t="str">
        <x:v>Timestamp when the candidate evidence row was generated.</x:v>
      </x:c>
      <x:c r="G17" s="19" t="str">
        <x:v>Candidate table value.</x:v>
      </x:c>
      <x:c r="H17" s="19" t="str">
        <x:v>Timestamp</x:v>
      </x:c>
      <x:c r="I17" s="19" t="str">
        <x:v>2026-07-18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f4e7edca78746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  <x:col min="3" max="3" width="55" hidden="0" customWidth="1"/>
    <x:col min="4" max="4" width="22" hidden="0" customWidth="1"/>
    <x:col min="5" max="5" width="52" hidden="0" customWidth="1"/>
    <x:col min="6" max="6" width="18" hidden="0" customWidth="1"/>
    <x:col min="7" max="7" width="15" hidden="0" customWidth="1"/>
  </x:cols>
  <x:sheetData>
    <x:row r="1" ht="32" customHeight="1">
      <x:c r="A1" s="29" t="str">
        <x:v>Master Map - Status Codes</x:v>
      </x:c>
    </x:row>
    <x:row r="2" ht="32" customHeight="1">
      <x:c r="A2" s="30" t="str">
        <x:v>Current counts are from the live database on 2026-07-18. Review statuses are also exposed through data_universe_mapping_review.</x:v>
      </x:c>
    </x:row>
    <x:row r="4" ht="28" customHeight="1">
      <x:c r="A4" s="33" t="str">
        <x:v>mapping_status</x:v>
      </x:c>
      <x:c r="B4" s="33" t="str">
        <x:v>Typical confidence</x:v>
      </x:c>
      <x:c r="C4" s="33" t="str">
        <x:v>Definition</x:v>
      </x:c>
      <x:c r="D4" s="33" t="str">
        <x:v>primary_prop_id</x:v>
      </x:c>
      <x:c r="E4" s="33" t="str">
        <x:v>Recommended handling</x:v>
      </x:c>
      <x:c r="F4" s="33" t="str">
        <x:v>Current rows</x:v>
      </x:c>
      <x:c r="G4" s="33" t="str">
        <x:v>% of rows</x:v>
      </x:c>
    </x:row>
    <x:row r="5" ht="96" hidden="0" customHeight="1">
      <x:c r="A5" s="17" t="str">
        <x:v>primary</x:v>
      </x:c>
      <x:c r="B5" s="17" t="str">
        <x:v>high</x:v>
      </x:c>
      <x:c r="C5" s="17" t="str">
        <x:v>Unique non-conflicted Land Valuation prop_id at the canonical address.</x:v>
      </x:c>
      <x:c r="D5" s="17" t="str">
        <x:v>Self</x:v>
      </x:c>
      <x:c r="E5" s="17" t="str">
        <x:v>Use as the preferred project mapping ID.</x:v>
      </x:c>
      <x:c r="F5" s="20" t="n">
        <x:v>2630101</x:v>
      </x:c>
      <x:c r="G5" s="34" t="n">
        <x:f>F5/$F$13</x:f>
        <x:v>0.6834106233271049</x:v>
      </x:c>
    </x:row>
    <x:row r="6" ht="132" hidden="0" customHeight="1">
      <x:c r="A6" s="18" t="str">
        <x:v>obsolete_candidate</x:v>
      </x:c>
      <x:c r="B6" s="18" t="str">
        <x:v>high</x:v>
      </x:c>
      <x:c r="C6" s="18" t="str">
        <x:v>Another prop_id shares the address with one valuation primary and has no recent-transaction conflict.</x:v>
      </x:c>
      <x:c r="D6" s="18" t="str">
        <x:v>Valuation primary</x:v>
      </x:c>
      <x:c r="E6" s="18" t="str">
        <x:v>May map after accepting that this is inferred, not confirmed expiry.</x:v>
      </x:c>
      <x:c r="F6" s="21" t="n">
        <x:v>543960</x:v>
      </x:c>
      <x:c r="G6" s="35" t="n">
        <x:f>F6/$F$13</x:f>
        <x:v>0.14134363762646834</x:v>
      </x:c>
    </x:row>
    <x:row r="7" ht="120" hidden="0" customHeight="1">
      <x:c r="A7" s="18" t="str">
        <x:v>primary_unverified</x:v>
      </x:c>
      <x:c r="B7" s="18" t="str">
        <x:v>medium</x:v>
      </x:c>
      <x:c r="C7" s="18" t="str">
        <x:v>Only one prop_id exists at the address but no Land Valuation primary exists.</x:v>
      </x:c>
      <x:c r="D7" s="18" t="str">
        <x:v>Self</x:v>
      </x:c>
      <x:c r="E7" s="18" t="str">
        <x:v>Usable as a singleton ID, but not valuation-confirmed.</x:v>
      </x:c>
      <x:c r="F7" s="21" t="n">
        <x:v>95480</x:v>
      </x:c>
      <x:c r="G7" s="35" t="n">
        <x:f>F7/$F$13</x:f>
        <x:v>0.024809711229824245</x:v>
      </x:c>
    </x:row>
    <x:row r="8" ht="72" hidden="0" customHeight="1">
      <x:c r="A8" s="18" t="str">
        <x:v>blank_address</x:v>
      </x:c>
      <x:c r="B8" s="18" t="str">
        <x:v>review</x:v>
      </x:c>
      <x:c r="C8" s="18" t="str">
        <x:v>No usable canonical address.</x:v>
      </x:c>
      <x:c r="D8" s="18" t="str">
        <x:v>Null</x:v>
      </x:c>
      <x:c r="E8" s="18" t="str">
        <x:v>Investigate other identifiers; do not map by address.</x:v>
      </x:c>
      <x:c r="F8" s="21" t="n">
        <x:v>2041</x:v>
      </x:c>
      <x:c r="G8" s="35" t="n">
        <x:f>F8/$F$13</x:f>
        <x:v>0.000530337459363964</x:v>
      </x:c>
    </x:row>
    <x:row r="9" ht="84" hidden="0" customHeight="1">
      <x:c r="A9" s="18" t="str">
        <x:v>review_land_valuation_address_conflict</x:v>
      </x:c>
      <x:c r="B9" s="18" t="str">
        <x:v>Mixed; status governs</x:v>
      </x:c>
      <x:c r="C9" s="18" t="str">
        <x:v>One prop_id has multiple Land Valuation addresses.</x:v>
      </x:c>
      <x:c r="D9" s="18" t="str">
        <x:v>Null</x:v>
      </x:c>
      <x:c r="E9" s="18" t="str">
        <x:v>Review source rows and parcel history.</x:v>
      </x:c>
      <x:c r="F9" s="21" t="n">
        <x:v>19</x:v>
      </x:c>
      <x:c r="G9" s="35" t="n">
        <x:f>F9/$F$13</x:f>
        <x:v>0.000004936997416910983</x:v>
      </x:c>
    </x:row>
    <x:row r="10" ht="84" hidden="0" customHeight="1">
      <x:c r="A10" s="18" t="str">
        <x:v>review_multiple_land_valuation_prop_ids</x:v>
      </x:c>
      <x:c r="B10" s="18" t="str">
        <x:v>review</x:v>
      </x:c>
      <x:c r="C10" s="18" t="str">
        <x:v>More than one Land Valuation prop_id shares the canonical address.</x:v>
      </x:c>
      <x:c r="D10" s="18" t="str">
        <x:v>Null</x:v>
      </x:c>
      <x:c r="E10" s="18" t="str">
        <x:v>Do not collapse; may represent legitimate multiple parcels.</x:v>
      </x:c>
      <x:c r="F10" s="21" t="n">
        <x:v>147838</x:v>
      </x:c>
      <x:c r="G10" s="35" t="n">
        <x:f>F10/$F$13</x:f>
        <x:v>0.038414517059015045</x:v>
      </x:c>
    </x:row>
    <x:row r="11" ht="96" hidden="0" customHeight="1">
      <x:c r="A11" s="18" t="str">
        <x:v>review_no_land_valuation_primary</x:v>
      </x:c>
      <x:c r="B11" s="18" t="str">
        <x:v>review</x:v>
      </x:c>
      <x:c r="C11" s="18" t="str">
        <x:v>Multiple prop_ids share the address and none has valuation authority.</x:v>
      </x:c>
      <x:c r="D11" s="18" t="str">
        <x:v>Null</x:v>
      </x:c>
      <x:c r="E11" s="18" t="str">
        <x:v>Review using parcel geometry, identifiers and source history.</x:v>
      </x:c>
      <x:c r="F11" s="21" t="n">
        <x:v>399802</x:v>
      </x:c>
      <x:c r="G11" s="35" t="n">
        <x:f>F11/$F$13</x:f>
        <x:v>0.10388533901451814</x:v>
      </x:c>
    </x:row>
    <x:row r="12" ht="132" hidden="0" customHeight="1">
      <x:c r="A12" s="18" t="str">
        <x:v>review_recent_transaction_after_valuation</x:v>
      </x:c>
      <x:c r="B12" s="18" t="str">
        <x:v>review</x:v>
      </x:c>
      <x:c r="C12" s="18" t="str">
        <x:v>Competing ID has a sale on/after the primary valuation basis date, or that basis date is absent.</x:v>
      </x:c>
      <x:c r="D12" s="18" t="str">
        <x:v>Null</x:v>
      </x:c>
      <x:c r="E12" s="18" t="str">
        <x:v>Investigate the transaction before selecting a primary.</x:v>
      </x:c>
      <x:c r="F12" s="21" t="n">
        <x:v>29252</x:v>
      </x:c>
      <x:c r="G12" s="35" t="n">
        <x:f>F12/$F$13</x:f>
        <x:v>0.007600897286288425</x:v>
      </x:c>
    </x:row>
    <x:row r="13" ht="15" hidden="0" customHeight="1">
      <x:c r="A13" s="41" t="str">
        <x:v>TOTAL</x:v>
      </x:c>
      <x:c r="B13" s="41" t="str"/>
      <x:c r="C13" s="41" t="str"/>
      <x:c r="D13" s="41" t="str"/>
      <x:c r="E13" s="41" t="str"/>
      <x:c r="F13" s="41" t="n">
        <x:f>SUM(F5:F12)</x:f>
        <x:v>3848493</x:v>
      </x:c>
      <x:c r="G13" s="42" t="n">
        <x:f>SUM(G5:G12)</x:f>
        <x:v>0.9999999999999998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afe44ffcda14b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0" hidden="0" customWidth="1"/>
    <x:col min="3" max="3" width="18" hidden="0" customWidth="1"/>
    <x:col min="4" max="4" width="80" hidden="0" customWidth="1"/>
  </x:cols>
  <x:sheetData>
    <x:row r="1" ht="32" customHeight="1">
      <x:c r="A1" s="29" t="str">
        <x:v>Categorical Value Domains</x:v>
      </x:c>
    </x:row>
    <x:row r="2" ht="32" customHeight="1">
      <x:c r="A2" s="30" t="str">
        <x:v>Allowed and currently observed categorical values. Current row counts are included where available.</x:v>
      </x:c>
    </x:row>
    <x:row r="4" ht="28" customHeight="1">
      <x:c r="A4" s="33" t="str">
        <x:v>Column</x:v>
      </x:c>
      <x:c r="B4" s="33" t="str">
        <x:v>Value</x:v>
      </x:c>
      <x:c r="C4" s="33" t="str">
        <x:v>Current rows</x:v>
      </x:c>
      <x:c r="D4" s="33" t="str">
        <x:v>Meaning</x:v>
      </x:c>
    </x:row>
    <x:row r="5" ht="84" hidden="0" customHeight="1">
      <x:c r="A5" s="17" t="str">
        <x:v>canonical_address_source</x:v>
      </x:c>
      <x:c r="B5" s="17" t="str">
        <x:v>land_valuation</x:v>
      </x:c>
      <x:c r="C5" s="20" t="n">
        <x:v>2713155</x:v>
      </x:c>
      <x:c r="D5" s="17" t="str">
        <x:v>Unique normalized address from the Land Valuation union.</x:v>
      </x:c>
    </x:row>
    <x:row r="6" ht="60" hidden="0" customHeight="1">
      <x:c r="A6" s="18" t="str">
        <x:v>canonical_address_source</x:v>
      </x:c>
      <x:c r="B6" s="18" t="str">
        <x:v>data_universe</x:v>
      </x:c>
      <x:c r="C6" s="21" t="n">
        <x:v>1133297</x:v>
      </x:c>
      <x:c r="D6" s="18" t="str">
        <x:v>Normalized original data_universe address.</x:v>
      </x:c>
    </x:row>
    <x:row r="7" ht="156" hidden="0" customHeight="1">
      <x:c r="A7" s="18" t="str">
        <x:v>canonical_address_source</x:v>
      </x:c>
      <x:c r="B7" s="18" t="str">
        <x:v>property_source</x:v>
      </x:c>
      <x:c r="C7" s="21" t="n">
        <x:v>0</x:v>
      </x:c>
      <x:c r="D7" s="18" t="str">
        <x:v>Unique normalized property_source base-address fallback; valid code but unused in current build.</x:v>
      </x:c>
    </x:row>
    <x:row r="8" ht="48" hidden="0" customHeight="1">
      <x:c r="A8" s="18" t="str">
        <x:v>canonical_address_source</x:v>
      </x:c>
      <x:c r="B8" s="18" t="str">
        <x:v>none</x:v>
      </x:c>
      <x:c r="C8" s="21" t="n">
        <x:v>2041</x:v>
      </x:c>
      <x:c r="D8" s="18" t="str">
        <x:v>No usable address from any source.</x:v>
      </x:c>
    </x:row>
    <x:row r="9" ht="72" hidden="0" customHeight="1">
      <x:c r="A9" s="18" t="str">
        <x:v>activity_evidence</x:v>
      </x:c>
      <x:c r="B9" s="18" t="str">
        <x:v>land_valuation</x:v>
      </x:c>
      <x:c r="C9" s="21" t="n">
        <x:v>2713174</x:v>
      </x:c>
      <x:c r="D9" s="18" t="str">
        <x:v>Prop_id appears in urban, semi or rural Land Valuation.</x:v>
      </x:c>
    </x:row>
    <x:row r="10" ht="72" hidden="0" customHeight="1">
      <x:c r="A10" s="18" t="str">
        <x:v>activity_evidence</x:v>
      </x:c>
      <x:c r="B10" s="18" t="str">
        <x:v>sale_history_only</x:v>
      </x:c>
      <x:c r="C10" s="21" t="n">
        <x:v>1063565</x:v>
      </x:c>
      <x:c r="D10" s="18" t="str">
        <x:v>No Land Valuation match; sales history exists.</x:v>
      </x:c>
    </x:row>
    <x:row r="11" ht="84" hidden="0" customHeight="1">
      <x:c r="A11" s="18" t="str">
        <x:v>activity_evidence</x:v>
      </x:c>
      <x:c r="B11" s="18" t="str">
        <x:v>property_source_only</x:v>
      </x:c>
      <x:c r="C11" s="21" t="n">
        <x:v>71754</x:v>
      </x:c>
      <x:c r="D11" s="18" t="str">
        <x:v>No valuation or sales match; property_source exists.</x:v>
      </x:c>
    </x:row>
    <x:row r="12" ht="120" hidden="0" customHeight="1">
      <x:c r="A12" s="18" t="str">
        <x:v>activity_evidence</x:v>
      </x:c>
      <x:c r="B12" s="18" t="str">
        <x:v>data_universe_only</x:v>
      </x:c>
      <x:c r="C12" s="21" t="n">
        <x:v>0</x:v>
      </x:c>
      <x:c r="D12" s="18" t="str">
        <x:v>No supporting source beyond data_universe; valid code but unused in current build.</x:v>
      </x:c>
    </x:row>
    <x:row r="13" ht="84" hidden="0" customHeight="1">
      <x:c r="A13" s="18" t="str">
        <x:v>mapping_confidence</x:v>
      </x:c>
      <x:c r="B13" s="18" t="str">
        <x:v>high</x:v>
      </x:c>
      <x:c r="C13" s="21"/>
      <x:c r="D13" s="18" t="str">
        <x:v>Unique valuation authority. Status still overrides confidence.</x:v>
      </x:c>
    </x:row>
    <x:row r="14" ht="72" hidden="0" customHeight="1">
      <x:c r="A14" s="18" t="str">
        <x:v>mapping_confidence</x:v>
      </x:c>
      <x:c r="B14" s="18" t="str">
        <x:v>medium</x:v>
      </x:c>
      <x:c r="C14" s="21"/>
      <x:c r="D14" s="18" t="str">
        <x:v>Singleton address without valuation confirmation.</x:v>
      </x:c>
    </x:row>
    <x:row r="15" ht="84" hidden="0" customHeight="1">
      <x:c r="A15" s="19" t="str">
        <x:v>mapping_confidence</x:v>
      </x:c>
      <x:c r="B15" s="19" t="str">
        <x:v>review</x:v>
      </x:c>
      <x:c r="C15" s="43"/>
      <x:c r="D15" s="19" t="str">
        <x:v>Ambiguous, conflicted or incomplete mapping.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c13c546cecf42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85" hidden="0" customWidth="1"/>
    <x:col min="4" max="4" width="55" hidden="0" customWidth="1"/>
  </x:cols>
  <x:sheetData>
    <x:row r="1" ht="32" customHeight="1">
      <x:c r="A1" s="29" t="str">
        <x:v>Mapping Decision Rules</x:v>
      </x:c>
    </x:row>
    <x:row r="2" ht="32" customHeight="1">
      <x:c r="A2" s="30" t="str">
        <x:v>Rules are evaluated conservatively. A null primary_prop_id is intentional and prevents accidental collapsing of unresolved parcel IDs.</x:v>
      </x:c>
    </x:row>
    <x:row r="4" ht="28" customHeight="1">
      <x:c r="A4" s="33" t="str">
        <x:v>Order</x:v>
      </x:c>
      <x:c r="B4" s="33" t="str">
        <x:v>Rule</x:v>
      </x:c>
      <x:c r="C4" s="33" t="str">
        <x:v>Implementation</x:v>
      </x:c>
      <x:c r="D4" s="33" t="str">
        <x:v>Example / effect</x:v>
      </x:c>
    </x:row>
    <x:row r="5" ht="216" hidden="0" customHeight="1">
      <x:c r="A5" s="17" t="n">
        <x:v>1</x:v>
      </x:c>
      <x:c r="B5" s="17" t="str">
        <x:v>Normalize address</x:v>
      </x:c>
      <x:c r="C5" s="17" t="str">
        <x:v>Remove a recognized leading unit prefix; remove trailing NSW postcode; uppercase; remove punctuation; expand common street suffixes; collapse whitespace.</x:v>
      </x:c>
      <x:c r="D5" s="17" t="str">
        <x:v>1001/1 AVON RD, PYMBLE NSW 2073 -&gt; 1 AVON ROAD PYMBLE</x:v>
      </x:c>
    </x:row>
    <x:row r="6" ht="180" hidden="0" customHeight="1">
      <x:c r="A6" s="18" t="n">
        <x:v>2</x:v>
      </x:c>
      <x:c r="B6" s="18" t="str">
        <x:v>Choose canonical source</x:v>
      </x:c>
      <x:c r="C6" s="18" t="str">
        <x:v>Use a unique Land Valuation address first; otherwise data_universe; otherwise a unique property_source base address.</x:v>
      </x:c>
      <x:c r="D6" s="18" t="str">
        <x:v>Land Valuation is selected for 2,713,155 current rows.</x:v>
      </x:c>
    </x:row>
    <x:row r="7" ht="96" hidden="0" customHeight="1">
      <x:c r="A7" s="18" t="n">
        <x:v>3</x:v>
      </x:c>
      <x:c r="B7" s="18" t="str">
        <x:v>Identify valuation authority</x:v>
      </x:c>
      <x:c r="C7" s="18" t="str">
        <x:v>Count non-conflicted Land Valuation prop_ids at each canonical address.</x:v>
      </x:c>
      <x:c r="D7" s="18" t="str">
        <x:v>Exactly one enables automatic primary selection.</x:v>
      </x:c>
    </x:row>
    <x:row r="8" ht="120" hidden="0" customHeight="1">
      <x:c r="A8" s="18" t="n">
        <x:v>4</x:v>
      </x:c>
      <x:c r="B8" s="18" t="str">
        <x:v>Select primary</x:v>
      </x:c>
      <x:c r="C8" s="18" t="str">
        <x:v>When exactly one valuation prop_id exists, that prop_id is primary and maps to itself.</x:v>
      </x:c>
      <x:c r="D8" s="18" t="str">
        <x:v>4158520 -&gt; 4158520</x:v>
      </x:c>
    </x:row>
    <x:row r="9" ht="192" hidden="0" customHeight="1">
      <x:c r="A9" s="18" t="n">
        <x:v>5</x:v>
      </x:c>
      <x:c r="B9" s="18" t="str">
        <x:v>Protect recent transactions</x:v>
      </x:c>
      <x:c r="C9" s="18" t="str">
        <x:v>A competing sale-history-only ID is sent to review if its sale is on/after the primary valuation basis date, or the primary basis date is absent.</x:v>
      </x:c>
      <x:c r="D9" s="18" t="str">
        <x:v>6041306 is review_recent_transaction_after_valuation.</x:v>
      </x:c>
    </x:row>
    <x:row r="10" ht="144" hidden="0" customHeight="1">
      <x:c r="A10" s="18" t="n">
        <x:v>6</x:v>
      </x:c>
      <x:c r="B10" s="18" t="str">
        <x:v>Link older alternatives</x:v>
      </x:c>
      <x:c r="C10" s="18" t="str">
        <x:v>Other IDs at a unique valuation address become obsolete_candidate and link to the valuation primary.</x:v>
      </x:c>
      <x:c r="D10" s="18" t="str">
        <x:v>684589 -&gt; 4158520</x:v>
      </x:c>
    </x:row>
    <x:row r="11" ht="180" hidden="0" customHeight="1">
      <x:c r="A11" s="19" t="n">
        <x:v>7</x:v>
      </x:c>
      <x:c r="B11" s="19" t="str">
        <x:v>Do not force ambiguity</x:v>
      </x:c>
      <x:c r="C11" s="19" t="str">
        <x:v>Multiple valuation IDs, multiple non-valuation IDs, blank addresses and valuation-address conflicts keep primary_prop_id null.</x:v>
      </x:c>
      <x:c r="D11" s="19" t="str">
        <x:v>CONDOBOLIN remains review-only.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b96900bec074d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3" hidden="0" customWidth="1"/>
    <x:col min="3" max="3" width="18" hidden="0" customWidth="1"/>
    <x:col min="4" max="4" width="46" hidden="0" customWidth="1"/>
    <x:col min="5" max="5" width="16" hidden="0" customWidth="1"/>
    <x:col min="6" max="6" width="17" hidden="0" customWidth="1"/>
    <x:col min="7" max="7" width="19" hidden="0" customWidth="1"/>
    <x:col min="8" max="8" width="17" hidden="0" customWidth="1"/>
    <x:col min="9" max="9" width="55" hidden="0" customWidth="1"/>
  </x:cols>
  <x:sheetData>
    <x:row r="1" ht="32" customHeight="1">
      <x:c r="A1" s="29" t="str">
        <x:v>Worked Mapping Examples</x:v>
      </x:c>
    </x:row>
    <x:row r="2" ht="32" customHeight="1">
      <x:c r="A2" s="30" t="str">
        <x:v>Examples are current database rows. Blank primary_prop_id means the ID is intentionally unresolved.</x:v>
      </x:c>
    </x:row>
    <x:row r="4" ht="28" customHeight="1">
      <x:c r="A4" s="33" t="str">
        <x:v>prop_id</x:v>
      </x:c>
      <x:c r="B4" s="33" t="str">
        <x:v>canonical_address</x:v>
      </x:c>
      <x:c r="C4" s="33" t="str">
        <x:v>primary_prop_id</x:v>
      </x:c>
      <x:c r="D4" s="33" t="str">
        <x:v>mapping_status</x:v>
      </x:c>
      <x:c r="E4" s="33" t="str">
        <x:v>confidence</x:v>
      </x:c>
      <x:c r="F4" s="33" t="str">
        <x:v>recent conflict</x:v>
      </x:c>
      <x:c r="G4" s="33" t="str">
        <x:v>valuation basis</x:v>
      </x:c>
      <x:c r="H4" s="33" t="str">
        <x:v>latest sale</x:v>
      </x:c>
      <x:c r="I4" s="33" t="str">
        <x:v>Interpretation</x:v>
      </x:c>
    </x:row>
    <x:row r="5" ht="48" hidden="0" customHeight="1">
      <x:c r="A5" s="17" t="n">
        <x:v>4158520</x:v>
      </x:c>
      <x:c r="B5" s="17" t="str">
        <x:v>1 AVON ROAD PYMBLE</x:v>
      </x:c>
      <x:c r="C5" s="17" t="n">
        <x:v>4158520</x:v>
      </x:c>
      <x:c r="D5" s="17" t="str">
        <x:v>primary</x:v>
      </x:c>
      <x:c r="E5" s="17" t="str">
        <x:v>high</x:v>
      </x:c>
      <x:c r="F5" s="52" t="b">
        <x:v>0</x:v>
      </x:c>
      <x:c r="G5" s="17" t="str">
        <x:v>2025-07-01</x:v>
      </x:c>
      <x:c r="H5" s="17" t="str">
        <x:v>2026-04-02</x:v>
      </x:c>
      <x:c r="I5" s="17" t="str">
        <x:v>Land Valuation primary for the parcel.</x:v>
      </x:c>
    </x:row>
    <x:row r="6" ht="60" hidden="0" customHeight="1">
      <x:c r="A6" s="18" t="n">
        <x:v>684589</x:v>
      </x:c>
      <x:c r="B6" s="18" t="str">
        <x:v>1 AVON ROAD PYMBLE</x:v>
      </x:c>
      <x:c r="C6" s="18" t="n">
        <x:v>4158520</x:v>
      </x:c>
      <x:c r="D6" s="18" t="str">
        <x:v>obsolete_candidate</x:v>
      </x:c>
      <x:c r="E6" s="18" t="str">
        <x:v>high</x:v>
      </x:c>
      <x:c r="F6" s="53" t="b">
        <x:v>0</x:v>
      </x:c>
      <x:c r="G6" s="18" t="str"/>
      <x:c r="H6" s="18" t="str">
        <x:v>2014-12-02</x:v>
      </x:c>
      <x:c r="I6" s="18" t="str">
        <x:v>Older sale-history-only ID linked to 4158520.</x:v>
      </x:c>
    </x:row>
    <x:row r="7" ht="60" hidden="0" customHeight="1">
      <x:c r="A7" s="18" t="n">
        <x:v>4158689</x:v>
      </x:c>
      <x:c r="B7" s="18" t="str">
        <x:v>1 AVON ROAD PYMBLE</x:v>
      </x:c>
      <x:c r="C7" s="18" t="n">
        <x:v>4158520</x:v>
      </x:c>
      <x:c r="D7" s="18" t="str">
        <x:v>obsolete_candidate</x:v>
      </x:c>
      <x:c r="E7" s="18" t="str">
        <x:v>high</x:v>
      </x:c>
      <x:c r="F7" s="53" t="b">
        <x:v>0</x:v>
      </x:c>
      <x:c r="G7" s="18" t="str"/>
      <x:c r="H7" s="18" t="str">
        <x:v>2018-10-16</x:v>
      </x:c>
      <x:c r="I7" s="18" t="str">
        <x:v>Older sale-history-only ID linked to 4158520.</x:v>
      </x:c>
    </x:row>
    <x:row r="8" ht="60" hidden="0" customHeight="1">
      <x:c r="A8" s="18" t="n">
        <x:v>4139561</x:v>
      </x:c>
      <x:c r="B8" s="18" t="str">
        <x:v>6A ATKINSON STREET LIVERPOOL</x:v>
      </x:c>
      <x:c r="C8" s="18" t="n">
        <x:v>4139561</x:v>
      </x:c>
      <x:c r="D8" s="18" t="str">
        <x:v>primary</x:v>
      </x:c>
      <x:c r="E8" s="18" t="str">
        <x:v>high</x:v>
      </x:c>
      <x:c r="F8" s="53" t="b">
        <x:v>0</x:v>
      </x:c>
      <x:c r="G8" s="18" t="str">
        <x:v>2025-07-01</x:v>
      </x:c>
      <x:c r="H8" s="18" t="str">
        <x:v>2026-05-25</x:v>
      </x:c>
      <x:c r="I8" s="18" t="str">
        <x:v>Unique Land Valuation primary.</x:v>
      </x:c>
    </x:row>
    <x:row r="9" ht="60" hidden="0" customHeight="1">
      <x:c r="A9" s="18" t="n">
        <x:v>4139568</x:v>
      </x:c>
      <x:c r="B9" s="18" t="str">
        <x:v>6A ATKINSON STREET LIVERPOOL</x:v>
      </x:c>
      <x:c r="C9" s="18" t="n">
        <x:v>4139561</x:v>
      </x:c>
      <x:c r="D9" s="18" t="str">
        <x:v>obsolete_candidate</x:v>
      </x:c>
      <x:c r="E9" s="18" t="str">
        <x:v>high</x:v>
      </x:c>
      <x:c r="F9" s="53" t="b">
        <x:v>0</x:v>
      </x:c>
      <x:c r="G9" s="18" t="str"/>
      <x:c r="H9" s="18" t="str">
        <x:v>2023-05-24</x:v>
      </x:c>
      <x:c r="I9" s="18" t="str">
        <x:v>Older sale-history-only ID.</x:v>
      </x:c>
    </x:row>
    <x:row r="10" ht="60" hidden="0" customHeight="1">
      <x:c r="A10" s="18" t="n">
        <x:v>4139576</x:v>
      </x:c>
      <x:c r="B10" s="18" t="str">
        <x:v>6A ATKINSON STREET LIVERPOOL</x:v>
      </x:c>
      <x:c r="C10" s="18" t="n">
        <x:v>4139561</x:v>
      </x:c>
      <x:c r="D10" s="18" t="str">
        <x:v>obsolete_candidate</x:v>
      </x:c>
      <x:c r="E10" s="18" t="str">
        <x:v>high</x:v>
      </x:c>
      <x:c r="F10" s="53" t="b">
        <x:v>0</x:v>
      </x:c>
      <x:c r="G10" s="18" t="str"/>
      <x:c r="H10" s="18" t="str">
        <x:v>2018-11-16</x:v>
      </x:c>
      <x:c r="I10" s="18" t="str">
        <x:v>Older sale-history-only ID.</x:v>
      </x:c>
    </x:row>
    <x:row r="11" ht="60" hidden="0" customHeight="1">
      <x:c r="A11" s="18" t="n">
        <x:v>6041306</x:v>
      </x:c>
      <x:c r="B11" s="18" t="str">
        <x:v>30 YOUNG STREET HEDDON GRETA</x:v>
      </x:c>
      <x:c r="C11" s="18" t="str"/>
      <x:c r="D11" s="18" t="str">
        <x:v>review_recent_transaction_after_valuation</x:v>
      </x:c>
      <x:c r="E11" s="18" t="str">
        <x:v>review</x:v>
      </x:c>
      <x:c r="F11" s="53" t="b">
        <x:v>1</x:v>
      </x:c>
      <x:c r="G11" s="18" t="str"/>
      <x:c r="H11" s="18" t="str">
        <x:v>2026-07-01</x:v>
      </x:c>
      <x:c r="I11" s="18" t="str">
        <x:v>Recent transaction prevents automatic mapping.</x:v>
      </x:c>
    </x:row>
    <x:row r="12" ht="96" hidden="0" customHeight="1">
      <x:c r="A12" s="19" t="n">
        <x:v>2646775</x:v>
      </x:c>
      <x:c r="B12" s="19" t="str">
        <x:v>CONDOBOLIN</x:v>
      </x:c>
      <x:c r="C12" s="19" t="str"/>
      <x:c r="D12" s="19" t="str">
        <x:v>review_multiple_land_valuation_prop_ids</x:v>
      </x:c>
      <x:c r="E12" s="19" t="str">
        <x:v>review</x:v>
      </x:c>
      <x:c r="F12" s="54" t="b">
        <x:v>0</x:v>
      </x:c>
      <x:c r="G12" s="19" t="str">
        <x:v>2025-07-01</x:v>
      </x:c>
      <x:c r="H12" s="19" t="str"/>
      <x:c r="I12" s="19" t="str">
        <x:v>Incomplete locality-only address and multiple valuation IDs.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80dcd2ee09541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20" hidden="0" customWidth="1"/>
    <x:col min="4" max="4" width="28" hidden="0" customWidth="1"/>
    <x:col min="5" max="5" width="60" hidden="0" customWidth="1"/>
  </x:cols>
  <x:sheetData>
    <x:row r="1" ht="32" customHeight="1">
      <x:c r="A1" s="29" t="str">
        <x:v>Keys and Indexes</x:v>
      </x:c>
    </x:row>
    <x:row r="2" ht="32" customHeight="1">
      <x:c r="A2" s="30" t="str">
        <x:v>Physical database indexes observed on 2026-07-18.</x:v>
      </x:c>
    </x:row>
    <x:row r="4" ht="28" customHeight="1">
      <x:c r="A4" s="33" t="str">
        <x:v>Table</x:v>
      </x:c>
      <x:c r="B4" s="33" t="str">
        <x:v>Index</x:v>
      </x:c>
      <x:c r="C4" s="33" t="str">
        <x:v>Type</x:v>
      </x:c>
      <x:c r="D4" s="33" t="str">
        <x:v>Column(s)</x:v>
      </x:c>
      <x:c r="E4" s="33" t="str">
        <x:v>Purpose</x:v>
      </x:c>
    </x:row>
    <x:row r="5" ht="60" hidden="0" customHeight="1">
      <x:c r="A5" s="17" t="str">
        <x:v>data_universe_prop_id_candidates</x:v>
      </x:c>
      <x:c r="B5" s="17" t="str">
        <x:v>data_universe_prop_id_candidates_pkey</x:v>
      </x:c>
      <x:c r="C5" s="17" t="str">
        <x:v>Unique btree</x:v>
      </x:c>
      <x:c r="D5" s="17" t="str">
        <x:v>prop_id</x:v>
      </x:c>
      <x:c r="E5" s="17" t="str">
        <x:v>Enforces one candidate row per prop_id.</x:v>
      </x:c>
    </x:row>
    <x:row r="6" ht="60" hidden="0" customHeight="1">
      <x:c r="A6" s="18" t="str">
        <x:v>data_universe_prop_id_candidates</x:v>
      </x:c>
      <x:c r="B6" s="18" t="str">
        <x:v>idx_data_universe_candidates_address</x:v>
      </x:c>
      <x:c r="C6" s="18" t="str">
        <x:v>Btree</x:v>
      </x:c>
      <x:c r="D6" s="18" t="str">
        <x:v>canonical_address</x:v>
      </x:c>
      <x:c r="E6" s="18" t="str">
        <x:v>Supports address grouping and lookup.</x:v>
      </x:c>
    </x:row>
    <x:row r="7" ht="48" hidden="0" customHeight="1">
      <x:c r="A7" s="18" t="str">
        <x:v>data_universe_prop_id_candidates</x:v>
      </x:c>
      <x:c r="B7" s="18" t="str">
        <x:v>idx_data_universe_candidates_latest_sale</x:v>
      </x:c>
      <x:c r="C7" s="18" t="str">
        <x:v>Btree descending</x:v>
      </x:c>
      <x:c r="D7" s="18" t="str">
        <x:v>latest_sale_date</x:v>
      </x:c>
      <x:c r="E7" s="18" t="str">
        <x:v>Supports recent-transaction analysis.</x:v>
      </x:c>
    </x:row>
    <x:row r="8" ht="60" hidden="0" customHeight="1">
      <x:c r="A8" s="18" t="str">
        <x:v>data_universe_master_map</x:v>
      </x:c>
      <x:c r="B8" s="18" t="str">
        <x:v>data_universe_master_map_pkey</x:v>
      </x:c>
      <x:c r="C8" s="18" t="str">
        <x:v>Unique btree</x:v>
      </x:c>
      <x:c r="D8" s="18" t="str">
        <x:v>prop_id</x:v>
      </x:c>
      <x:c r="E8" s="18" t="str">
        <x:v>Enforces one mapping row per prop_id.</x:v>
      </x:c>
    </x:row>
    <x:row r="9" ht="48" hidden="0" customHeight="1">
      <x:c r="A9" s="18" t="str">
        <x:v>data_universe_master_map</x:v>
      </x:c>
      <x:c r="B9" s="18" t="str">
        <x:v>idx_data_universe_master_address</x:v>
      </x:c>
      <x:c r="C9" s="18" t="str">
        <x:v>Btree</x:v>
      </x:c>
      <x:c r="D9" s="18" t="str">
        <x:v>canonical_address</x:v>
      </x:c>
      <x:c r="E9" s="18" t="str">
        <x:v>Supports address-level review.</x:v>
      </x:c>
    </x:row>
    <x:row r="10" ht="60" hidden="0" customHeight="1">
      <x:c r="A10" s="18" t="str">
        <x:v>data_universe_master_map</x:v>
      </x:c>
      <x:c r="B10" s="18" t="str">
        <x:v>idx_data_universe_master_primary</x:v>
      </x:c>
      <x:c r="C10" s="18" t="str">
        <x:v>Btree</x:v>
      </x:c>
      <x:c r="D10" s="18" t="str">
        <x:v>primary_prop_id</x:v>
      </x:c>
      <x:c r="E10" s="18" t="str">
        <x:v>Supports reverse lookup of aliases to a primary.</x:v>
      </x:c>
    </x:row>
    <x:row r="11" ht="48" hidden="0" customHeight="1">
      <x:c r="A11" s="19" t="str">
        <x:v>data_universe_master_map</x:v>
      </x:c>
      <x:c r="B11" s="19" t="str">
        <x:v>idx_data_universe_master_status</x:v>
      </x:c>
      <x:c r="C11" s="19" t="str">
        <x:v>Btree</x:v>
      </x:c>
      <x:c r="D11" s="19" t="str">
        <x:v>mapping_status</x:v>
      </x:c>
      <x:c r="E11" s="19" t="str">
        <x:v>Supports workflow and review filtering.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1be772c006542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5" hidden="0" customWidth="1"/>
    <x:col min="3" max="3" width="115" hidden="0" customWidth="1"/>
  </x:cols>
  <x:sheetData>
    <x:row r="1" ht="32" customHeight="1">
      <x:c r="A1" s="29" t="str">
        <x:v>Common SQL Usage</x:v>
      </x:c>
    </x:row>
    <x:row r="2" ht="32" customHeight="1">
      <x:c r="A2" s="30" t="str">
        <x:v>Use strict filters for automated downstream mapping. SQL is shown as executable PostgreSQL examples.</x:v>
      </x:c>
    </x:row>
    <x:row r="4" ht="28" customHeight="1">
      <x:c r="A4" s="33" t="str">
        <x:v>Use case</x:v>
      </x:c>
      <x:c r="B4" s="33" t="str">
        <x:v>Purpose</x:v>
      </x:c>
      <x:c r="C4" s="33" t="str">
        <x:v>SQL</x:v>
      </x:c>
    </x:row>
    <x:row r="5" ht="180" hidden="0" customHeight="1">
      <x:c r="A5" s="17" t="str">
        <x:v>Map an incoming prop_id</x:v>
      </x:c>
      <x:c r="B5" s="17" t="str">
        <x:v>Return the preferred mapping only when one exists.</x:v>
      </x:c>
      <x:c r="C5" s="17" t="str">
        <x:v>SELECT prop_id, primary_prop_id, mapping_status
FROM propdb_staging.data_universe_master_map
WHERE prop_id = 684589;</x:v>
      </x:c>
    </x:row>
    <x:row r="6" ht="204" hidden="0" customHeight="1">
      <x:c r="A6" s="18" t="str">
        <x:v>Use the safe mapped ID</x:v>
      </x:c>
      <x:c r="B6" s="18" t="str">
        <x:v>Preserve unresolved IDs instead of dropping them.</x:v>
      </x:c>
      <x:c r="C6" s="18" t="str">
        <x:v>SELECT prop_id, COALESCE(primary_prop_id, prop_id) AS usable_prop_id, mapping_status
FROM propdb_staging.data_universe_master_map;</x:v>
      </x:c>
    </x:row>
    <x:row r="7" ht="204" hidden="0" customHeight="1">
      <x:c r="A7" s="18" t="str">
        <x:v>Strict automatic mappings</x:v>
      </x:c>
      <x:c r="B7" s="18" t="str">
        <x:v>Use only confirmed primary and inferred obsolete-candidate rows.</x:v>
      </x:c>
      <x:c r="C7" s="18" t="str">
        <x:v>SELECT prop_id, primary_prop_id
FROM propdb_staging.data_universe_master_map
WHERE mapping_status IN ('primary', 'obsolete_candidate');</x:v>
      </x:c>
    </x:row>
    <x:row r="8" ht="156" hidden="0" customHeight="1">
      <x:c r="A8" s="18" t="str">
        <x:v>Review queue</x:v>
      </x:c>
      <x:c r="B8" s="18" t="str">
        <x:v>Read all unresolved and conflicted rows.</x:v>
      </x:c>
      <x:c r="C8" s="18" t="str">
        <x:v>SELECT *
FROM propdb_staging.data_universe_mapping_review
ORDER BY mapping_status, canonical_address, prop_id;</x:v>
      </x:c>
    </x:row>
    <x:row r="9" ht="216" hidden="0" customHeight="1">
      <x:c r="A9" s="18" t="str">
        <x:v>Find aliases for a primary</x:v>
      </x:c>
      <x:c r="B9" s="18" t="str">
        <x:v>Return all IDs currently linked to one preferred ID.</x:v>
      </x:c>
      <x:c r="C9" s="18" t="str">
        <x:v>SELECT prop_id, mapping_status, latest_sale_date
FROM propdb_staging.data_universe_master_map
WHERE primary_prop_id = 4158520
ORDER BY prop_id;</x:v>
      </x:c>
    </x:row>
    <x:row r="10" ht="324" hidden="0" customHeight="1">
      <x:c r="A10" s="18" t="str">
        <x:v>Inspect source evidence</x:v>
      </x:c>
      <x:c r="B10" s="18" t="str">
        <x:v>Join the mapping result to candidate evidence.</x:v>
      </x:c>
      <x:c r="C10" s="18" t="str">
        <x:v>SELECT m.*, c.original_address, c.canonical_address_source, c.valuation_tables
FROM propdb_staging.data_universe_master_map m
JOIN propdb_staging.data_universe_prop_id_candidates c USING (prop_id)
WHERE m.prop_id = 4158520;</x:v>
      </x:c>
    </x:row>
    <x:row r="11" ht="276" hidden="0" customHeight="1">
      <x:c r="A11" s="19" t="str">
        <x:v>Detect locality-only addresses</x:v>
      </x:c>
      <x:c r="B11" s="19" t="str">
        <x:v>Identify canonical addresses with no apparent street number.</x:v>
      </x:c>
      <x:c r="C11" s="19" t="str">
        <x:v>SELECT canonical_address, count(*)
FROM propdb_staging.data_universe_master_map
WHERE canonical_address !~ '^[0-9]'
GROUP BY canonical_address
HAVING count(*) &gt; 1
ORDER BY count(*) DESC;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0e47c43d35f140d0"/>
  </x:tableParts>
</x:worksheet>
</file>