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540d49ca1346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04bb807d910d4cdc"/>
    <x:sheet xmlns:r="http://schemas.openxmlformats.org/officeDocument/2006/relationships" name="Candidate Columns" sheetId="2" r:id="R7f826923f6434999"/>
    <x:sheet xmlns:r="http://schemas.openxmlformats.org/officeDocument/2006/relationships" name="Master Map Columns" sheetId="3" r:id="R455b6ca0d0cd4239"/>
    <x:sheet xmlns:r="http://schemas.openxmlformats.org/officeDocument/2006/relationships" name="Status Codes" sheetId="4" r:id="R89d81c5e89e440b3"/>
    <x:sheet xmlns:r="http://schemas.openxmlformats.org/officeDocument/2006/relationships" name="Primary Rules" sheetId="5" r:id="R9c9cc48abd0d4461"/>
    <x:sheet xmlns:r="http://schemas.openxmlformats.org/officeDocument/2006/relationships" name="Duplicate Checks" sheetId="6" r:id="R85699ddd214240d9"/>
    <x:sheet xmlns:r="http://schemas.openxmlformats.org/officeDocument/2006/relationships" name="Examples" sheetId="7" r:id="Rc5a86adc041e4629"/>
    <x:sheet xmlns:r="http://schemas.openxmlformats.org/officeDocument/2006/relationships" name="Value Domains" sheetId="8" r:id="R2480e97e8b044028"/>
    <x:sheet xmlns:r="http://schemas.openxmlformats.org/officeDocument/2006/relationships" name="Indexes" sheetId="9" r:id="Rc615e8d545c44e04"/>
    <x:sheet xmlns:r="http://schemas.openxmlformats.org/officeDocument/2006/relationships" name="SQL Usage" sheetId="10" r:id="R1b102a0ae9874f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9">
    <x:font>
      <x:sz val="11"/>
      <x:name val="Carlito"/>
    </x:font>
    <x:font>
      <x:b/>
      <x:sz val="20"/>
      <x:color rgb="FFFFFFFF"/>
      <x:name val="Aptos Display"/>
    </x:font>
    <x:font>
      <x:sz val="10"/>
      <x:color rgb="FF596779"/>
      <x:name val="Aptos"/>
    </x:font>
    <x:font>
      <x:b/>
      <x:sz val="11"/>
      <x:color rgb="FFFFFFFF"/>
      <x:name val="Carlito"/>
    </x:font>
    <x:font>
      <x:sz val="10"/>
      <x:color rgb="FF1F2937"/>
      <x:name val="Aptos"/>
    </x:font>
    <x:font>
      <x:b/>
      <x:sz val="11"/>
      <x:color rgb="FF1F2937"/>
      <x:name val="Carlito"/>
    </x:font>
    <x:font>
      <x:b/>
      <x:sz val="18"/>
      <x:color rgb="FFFFFFFF"/>
      <x:name val="Aptos Display"/>
    </x:font>
    <x:font>
      <x:b/>
      <x:sz val="10"/>
      <x:color rgb="FFFFFFFF"/>
      <x:name val="Aptos"/>
    </x:font>
    <x:font>
      <x:b/>
      <x:sz val="10"/>
      <x:color rgb="FF1F2937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FFF9E6"/>
      </x:patternFill>
    </x:fill>
    <x:fill>
      <x:patternFill patternType="solid">
        <x:fgColor rgb="FFF2F4F7"/>
      </x:patternFill>
    </x:fill>
  </x:fills>
  <x:borders count="5">
    <x:border/>
    <x:border>
      <x:bottom style="thin">
        <x:color rgb="FFC9D2DC"/>
      </x:bottom>
    </x:border>
    <x:border>
      <x:top style="thin">
        <x:color rgb="FFC9D2DC"/>
      </x:top>
      <x:bottom style="thin">
        <x:color rgb="FFC9D2DC"/>
      </x:bottom>
    </x:border>
    <x:border>
      <x:top style="thin">
        <x:color rgb="FFC9D2DC"/>
      </x:top>
    </x:border>
    <x:border>
      <x:top style="double">
        <x:color rgb="FF17365D"/>
      </x:top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 applyAlignment="1">
      <x:alignment vertical="top" wrapText="1"/>
    </x:xf>
    <x:xf numFmtId="200" fontId="4" fillId="0" borderId="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vertical="center" wrapText="1"/>
    </x:xf>
    <x:xf numFmtId="201" fontId="4" fillId="0" borderId="1" xfId="0" applyNumberFormat="1" applyFont="1" applyFill="1" applyBorder="1" applyAlignment="1">
      <x:alignment vertical="top" wrapText="1"/>
    </x:xf>
    <x:xf numFmtId="201" fontId="4" fillId="0" borderId="2" xfId="0" applyNumberFormat="1" applyFont="1" applyFill="1" applyBorder="1" applyAlignment="1">
      <x:alignment vertical="top" wrapText="1"/>
    </x:xf>
    <x:xf numFmtId="201" fontId="4" fillId="0" borderId="3" xfId="0" applyNumberFormat="1" applyFont="1" applyFill="1" applyBorder="1" applyAlignment="1">
      <x:alignment vertical="top" wrapText="1"/>
    </x:xf>
    <x:xf numFmtId="0" fontId="4" fillId="7" borderId="3" xfId="0" applyNumberFormat="1" applyFont="1" applyFill="1" applyBorder="1" applyAlignment="1">
      <x:alignment vertical="top" wrapText="1"/>
    </x:xf>
    <x:xf numFmtId="201" fontId="4" fillId="7" borderId="3" xfId="0" applyNumberFormat="1" applyFont="1" applyFill="1" applyBorder="1" applyAlignment="1">
      <x:alignment vertical="top" wrapText="1"/>
    </x:xf>
    <x:xf numFmtId="0" fontId="8" fillId="7" borderId="3" xfId="0" applyNumberFormat="1" applyFont="1" applyFill="1" applyBorder="1" applyAlignment="1">
      <x:alignment vertical="top" wrapText="1"/>
    </x:xf>
    <x:xf numFmtId="201" fontId="8" fillId="7" borderId="3" xfId="0" applyNumberFormat="1" applyFont="1" applyFill="1" applyBorder="1" applyAlignment="1">
      <x:alignment vertical="top" wrapText="1"/>
    </x:xf>
    <x:xf numFmtId="0" fontId="8" fillId="7" borderId="4" xfId="0" applyNumberFormat="1" applyFont="1" applyFill="1" applyBorder="1" applyAlignment="1">
      <x:alignment vertical="top" wrapText="1"/>
    </x:xf>
    <x:xf numFmtId="201" fontId="8" fillId="7" borderId="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4559afd79e4796" /><Relationship Type="http://schemas.openxmlformats.org/officeDocument/2006/relationships/theme" Target="/xl/theme/theme1.xml" Id="Re7a67d59a1734b54" /><Relationship Type="http://schemas.openxmlformats.org/officeDocument/2006/relationships/sharedStrings" Target="/xl/sharedStrings.xml" Id="R59284e066dda4175" /><Relationship Type="http://schemas.openxmlformats.org/officeDocument/2006/relationships/worksheet" Target="/xl/worksheets/sheet1.xml" Id="R04bb807d910d4cdc" /><Relationship Type="http://schemas.openxmlformats.org/officeDocument/2006/relationships/worksheet" Target="/xl/worksheets/sheet2.xml" Id="R7f826923f6434999" /><Relationship Type="http://schemas.openxmlformats.org/officeDocument/2006/relationships/worksheet" Target="/xl/worksheets/sheet3.xml" Id="R455b6ca0d0cd4239" /><Relationship Type="http://schemas.openxmlformats.org/officeDocument/2006/relationships/worksheet" Target="/xl/worksheets/sheet4.xml" Id="R89d81c5e89e440b3" /><Relationship Type="http://schemas.openxmlformats.org/officeDocument/2006/relationships/worksheet" Target="/xl/worksheets/sheet5.xml" Id="R9c9cc48abd0d4461" /><Relationship Type="http://schemas.openxmlformats.org/officeDocument/2006/relationships/worksheet" Target="/xl/worksheets/sheet6.xml" Id="R85699ddd214240d9" /><Relationship Type="http://schemas.openxmlformats.org/officeDocument/2006/relationships/worksheet" Target="/xl/worksheets/sheet7.xml" Id="Rc5a86adc041e4629" /><Relationship Type="http://schemas.openxmlformats.org/officeDocument/2006/relationships/worksheet" Target="/xl/worksheets/sheet8.xml" Id="R2480e97e8b044028" /><Relationship Type="http://schemas.openxmlformats.org/officeDocument/2006/relationships/worksheet" Target="/xl/worksheets/sheet9.xml" Id="Rc615e8d545c44e04" /><Relationship Type="http://schemas.openxmlformats.org/officeDocument/2006/relationships/worksheet" Target="/xl/worksheets/sheet10.xml" Id="R1b102a0ae9874f18" /></Relationships>
</file>

<file path=xl/tables/table1.xml><?xml version="1.0" encoding="utf-8"?>
<x:table xmlns:x="http://schemas.openxmlformats.org/spreadsheetml/2006/main" id="1" name="CandidateColumnsTable" displayName="CandidateColumnsTable" ref="A4:I26" headerRowCount="1" totalsRowCount="0" totalsRowShown="0">
  <x:tableColumns count="9">
    <x:tableColumn id="1" name="Position"/>
    <x:tableColumn id="2" name="Column"/>
    <x:tableColumn id="3" name="PostgreSQL type"/>
    <x:tableColumn id="4" name="Nullable"/>
    <x:tableColumn id="5" name="Key / index"/>
    <x:tableColumn id="6" name="Business definition"/>
    <x:tableColumn id="7" name="Derivation / source"/>
    <x:tableColumn id="8" name="Allowed values / format"/>
    <x:tableColumn id="9" name="Examp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sterColumnsTable" displayName="MasterColumnsTable" ref="A4:I23" headerRowCount="1" totalsRowCount="0" totalsRowShown="0">
  <x:tableColumns count="9">
    <x:tableColumn id="1" name="Position"/>
    <x:tableColumn id="2" name="Column"/>
    <x:tableColumn id="3" name="PostgreSQL type"/>
    <x:tableColumn id="4" name="Nullable"/>
    <x:tableColumn id="5" name="Key / index"/>
    <x:tableColumn id="6" name="Business definition"/>
    <x:tableColumn id="7" name="Derivation / source"/>
    <x:tableColumn id="8" name="Allowed values / format"/>
    <x:tableColumn id="9" name="Exampl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tatusCodesTable" displayName="StatusCodesTable" ref="A4:G16" headerRowCount="1" totalsRowCount="0" totalsRowShown="0">
  <x:tableColumns count="7">
    <x:tableColumn id="1" name="mapping_status"/>
    <x:tableColumn id="2" name="Confidence"/>
    <x:tableColumn id="3" name="Definition"/>
    <x:tableColumn id="4" name="primary_prop_id"/>
    <x:tableColumn id="5" name="Recommended handling"/>
    <x:tableColumn id="6" name="Current rows"/>
    <x:tableColumn id="7" name="% of row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imaryRulesTable" displayName="PrimaryRulesTable" ref="A4:D9" headerRowCount="1" totalsRowCount="0" totalsRowShown="0">
  <x:tableColumns count="4">
    <x:tableColumn id="1" name="Order"/>
    <x:tableColumn id="2" name="Rule"/>
    <x:tableColumn id="3" name="Implementation"/>
    <x:tableColumn id="4" name="Current resul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uplicateChecksTable" displayName="DuplicateChecksTable" ref="A4:E10" headerRowCount="1" totalsRowCount="0" totalsRowShown="0">
  <x:tableColumns count="5">
    <x:tableColumn id="1" name="Rule stage"/>
    <x:tableColumn id="2" name="Addresses affected"/>
    <x:tableColumn id="3" name="Example address"/>
    <x:tableColumn id="4" name="Candidate prop_ids"/>
    <x:tableColumn id="5" name="Interpretat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appingExamplesTable" displayName="MappingExamplesTable" ref="A4:H12" headerRowCount="1" totalsRowCount="0" totalsRowShown="0">
  <x:tableColumns count="8">
    <x:tableColumn id="1" name="prop_id"/>
    <x:tableColumn id="2" name="canonical_address"/>
    <x:tableColumn id="3" name="primary_prop_id"/>
    <x:tableColumn id="4" name="selection rule"/>
    <x:tableColumn id="5" name="mapping_status"/>
    <x:tableColumn id="6" name="confidence"/>
    <x:tableColumn id="7" name="latest sale"/>
    <x:tableColumn id="8" name="recent import da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ValueDomainsTable" displayName="ValueDomainsTable" ref="A4:D18" headerRowCount="1" totalsRowCount="0" totalsRowShown="0">
  <x:tableColumns count="4">
    <x:tableColumn id="1" name="Column"/>
    <x:tableColumn id="2" name="Value"/>
    <x:tableColumn id="3" name="Current rows"/>
    <x:tableColumn id="4" name="Meaning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IndexesTable" displayName="IndexesTable" ref="A4:E11" headerRowCount="1" totalsRowCount="0" totalsRowShown="0">
  <x:tableColumns count="5">
    <x:tableColumn id="1" name="Table"/>
    <x:tableColumn id="2" name="Index"/>
    <x:tableColumn id="3" name="Type"/>
    <x:tableColumn id="4" name="Column(s)"/>
    <x:tableColumn id="5" name="Purpos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qlUsageTable" displayName="SqlUsageTable" ref="A4:C10" headerRowCount="1" totalsRowCount="0" totalsRowShown="0">
  <x:tableColumns count="3">
    <x:tableColumn id="1" name="Use case"/>
    <x:tableColumn id="2" name="Purpose"/>
    <x:tableColumn id="3" name="SQ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e7486f3b47e48b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ac5ce51f2d64f0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8765bd9a02d4ec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196e02f656849d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e0ca597e8cf4f6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9bfd938b20b470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86acf3b7e3b482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a7c58a9e1964f5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3d03004f17764c5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4" hidden="0" customWidth="1"/>
    <x:col min="4" max="4" width="42" hidden="0" customWidth="1"/>
    <x:col min="5" max="5" width="14" hidden="0" customWidth="1"/>
    <x:col min="6" max="6" width="58" hidden="0" customWidth="1"/>
  </x:cols>
  <x:sheetData>
    <x:row r="1" ht="36" customHeight="1">
      <x:c r="A1" s="3" t="str">
        <x:v>NSW Data Universe Mapping - Data Dictionary</x:v>
      </x:c>
    </x:row>
    <x:row r="2" ht="30" customHeight="1">
      <x:c r="A2" s="6" t="str">
        <x:v>Live schema and business rules for data_universe_prop_id_candidates and data_universe_master_map | Rebuilt 18 July 2026</x:v>
      </x:c>
    </x:row>
    <x:row r="4">
      <x:c r="A4" s="9" t="str">
        <x:v>Key metric</x:v>
      </x:c>
      <x:c r="B4" s="9" t="str">
        <x:v>Current value</x:v>
      </x:c>
      <x:c r="D4" s="9" t="str">
        <x:v>Object</x:v>
      </x:c>
      <x:c r="E4" s="9" t="str">
        <x:v>Type</x:v>
      </x:c>
      <x:c r="F4" s="9" t="str">
        <x:v>Purpose</x:v>
      </x:c>
    </x:row>
    <x:row r="5">
      <x:c r="A5" s="17" t="str">
        <x:v>Candidate rows</x:v>
      </x:c>
      <x:c r="B5" s="20" t="n">
        <x:v>3848493</x:v>
      </x:c>
      <x:c r="D5" s="17" t="str">
        <x:v>data_universe_prop_id_candidates</x:v>
      </x:c>
      <x:c r="E5" s="17" t="str">
        <x:v>Table</x:v>
      </x:c>
      <x:c r="F5" s="17" t="str">
        <x:v>One source-evidence and parcel-address candidate per prop_id.</x:v>
      </x:c>
    </x:row>
    <x:row r="6">
      <x:c r="A6" s="18" t="str">
        <x:v>Master-map rows</x:v>
      </x:c>
      <x:c r="B6" s="21" t="n">
        <x:v>3848493</x:v>
      </x:c>
      <x:c r="D6" s="18" t="str">
        <x:v>data_universe_master_map</x:v>
      </x:c>
      <x:c r="E6" s="18" t="str">
        <x:v>Table</x:v>
      </x:c>
      <x:c r="F6" s="18" t="str">
        <x:v>One primary mapping decision per prop_id.</x:v>
      </x:c>
    </x:row>
    <x:row r="7">
      <x:c r="A7" s="18" t="str">
        <x:v>Rows with primary_prop_id</x:v>
      </x:c>
      <x:c r="B7" s="21" t="n">
        <x:v>2789563</x:v>
      </x:c>
      <x:c r="D7" s="19" t="str">
        <x:v>data_universe_mapping_review</x:v>
      </x:c>
      <x:c r="E7" s="19" t="str">
        <x:v>View</x:v>
      </x:c>
      <x:c r="F7" s="19" t="str">
        <x:v>All rows where primary_prop_id is null.</x:v>
      </x:c>
    </x:row>
    <x:row r="8">
      <x:c r="A8" s="18" t="str">
        <x:v>Rows in review view</x:v>
      </x:c>
      <x:c r="B8" s="21" t="n">
        <x:v>1058930</x:v>
      </x:c>
    </x:row>
    <x:row r="9">
      <x:c r="A9" s="18" t="str">
        <x:v>Unit-only addresses ignored</x:v>
      </x:c>
      <x:c r="B9" s="21" t="n">
        <x:v>845468</x:v>
      </x:c>
      <x:c r="D9" s="24" t="str">
        <x:v>Primary definition</x:v>
      </x:c>
    </x:row>
    <x:row r="10">
      <x:c r="A10" s="18" t="str">
        <x:v>Duplicated addresses after unit exclusion</x:v>
      </x:c>
      <x:c r="B10" s="21" t="n">
        <x:v>130383</x:v>
      </x:c>
      <x:c r="D10" s="28" t="str">
        <x:v>Primary_prop_id is selected in four ordered steps: ignore unit-level addresses; select one unique prop_id present in both historical sales and Land Valuer; otherwise select one unique Land Valuer prop_id; otherwise, for duplicated addresses with sales imported from 1 June 2026, select the prop_id with the unique latest sale date. Ties remain unresolved.</x:v>
      </x:c>
    </x:row>
    <x:row r="11">
      <x:c r="A11" s="18" t="str">
        <x:v>Step 2 duplicate addresses</x:v>
      </x:c>
      <x:c r="B11" s="21" t="n">
        <x:v>6223</x:v>
      </x:c>
    </x:row>
    <x:row r="12">
      <x:c r="A12" s="18" t="str">
        <x:v>Step 3 duplicate addresses after step 2</x:v>
      </x:c>
      <x:c r="B12" s="21" t="n">
        <x:v>14636</x:v>
      </x:c>
    </x:row>
    <x:row r="13">
      <x:c r="A13" s="18" t="str">
        <x:v>Step 4 addresses resolved</x:v>
      </x:c>
      <x:c r="B13" s="21" t="n">
        <x:v>1931</x:v>
      </x:c>
    </x:row>
    <x:row r="14">
      <x:c r="A14" s="18" t="str">
        <x:v>Step 4 latest-sale ties</x:v>
      </x:c>
      <x:c r="B14" s="21" t="n">
        <x:v>146</x:v>
      </x:c>
    </x:row>
    <x:row r="15">
      <x:c r="A15" s="19" t="str">
        <x:v>Unresolved duplicated addresses after all steps</x:v>
      </x:c>
      <x:c r="B15" s="22" t="n">
        <x:v>25053</x:v>
      </x:c>
    </x:row>
  </x:sheetData>
  <x:mergeCells>
    <x:mergeCell ref="A1:F1"/>
    <x:mergeCell ref="A2:F2"/>
    <x:mergeCell ref="D9:F9"/>
    <x:mergeCell ref="D10:F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40" hidden="0" customWidth="1"/>
    <x:col min="3" max="3" width="22" hidden="0" customWidth="1"/>
    <x:col min="4" max="4" width="11" hidden="0" customWidth="1"/>
    <x:col min="5" max="5" width="20" hidden="0" customWidth="1"/>
    <x:col min="6" max="6" width="50" hidden="0" customWidth="1"/>
    <x:col min="7" max="7" width="58" hidden="0" customWidth="1"/>
    <x:col min="8" max="8" width="42" hidden="0" customWidth="1"/>
    <x:col min="9" max="9" width="28" hidden="0" customWidth="1"/>
  </x:cols>
  <x:sheetData>
    <x:row r="1" ht="32" customHeight="1">
      <x:c r="A1" s="30" t="str">
        <x:v>Candidate Table - Column Dictionary</x:v>
      </x:c>
    </x:row>
    <x:row r="2" ht="34" customHeight="1">
      <x:c r="A2" s="31" t="str">
        <x:v>One row per data_universe prop_id. Unit-level source addresses are retained as evidence but are not converted into parcel-address candidates.</x:v>
      </x:c>
    </x:row>
    <x:row r="4" ht="28" customHeight="1">
      <x:c r="A4" s="34" t="str">
        <x:v>Position</x:v>
      </x:c>
      <x:c r="B4" s="34" t="str">
        <x:v>Column</x:v>
      </x:c>
      <x:c r="C4" s="34" t="str">
        <x:v>PostgreSQL type</x:v>
      </x:c>
      <x:c r="D4" s="34" t="str">
        <x:v>Nullable</x:v>
      </x:c>
      <x:c r="E4" s="34" t="str">
        <x:v>Key / index</x:v>
      </x:c>
      <x:c r="F4" s="34" t="str">
        <x:v>Business definition</x:v>
      </x:c>
      <x:c r="G4" s="34" t="str">
        <x:v>Derivation / source</x:v>
      </x:c>
      <x:c r="H4" s="34" t="str">
        <x:v>Allowed values / format</x:v>
      </x:c>
      <x:c r="I4" s="34" t="str">
        <x:v>Example</x:v>
      </x:c>
    </x:row>
    <x:row r="5" ht="84" hidden="0" customHeight="1">
      <x:c r="A5" s="17" t="n">
        <x:v>1</x:v>
      </x:c>
      <x:c r="B5" s="17" t="str">
        <x:v>prop_id</x:v>
      </x:c>
      <x:c r="C5" s="17" t="str">
        <x:v>bigint</x:v>
      </x:c>
      <x:c r="D5" s="17" t="str">
        <x:v>No</x:v>
      </x:c>
      <x:c r="E5" s="17" t="str">
        <x:v>Primary key</x:v>
      </x:c>
      <x:c r="F5" s="17" t="str">
        <x:v>Property/parcel identifier inherited from data_universe.</x:v>
      </x:c>
      <x:c r="G5" s="17" t="str">
        <x:v>data_universe.prop_id</x:v>
      </x:c>
      <x:c r="H5" s="17" t="str">
        <x:v>Unique bigint</x:v>
      </x:c>
      <x:c r="I5" s="17" t="str">
        <x:v>4158520</x:v>
      </x:c>
    </x:row>
    <x:row r="6" ht="60" hidden="0" customHeight="1">
      <x:c r="A6" s="18" t="n">
        <x:v>2</x:v>
      </x:c>
      <x:c r="B6" s="18" t="str">
        <x:v>original_address</x:v>
      </x:c>
      <x:c r="C6" s="18" t="str">
        <x:v>text</x:v>
      </x:c>
      <x:c r="D6" s="18" t="str">
        <x:v>Yes</x:v>
      </x:c>
      <x:c r="E6" s="18" t="str">
        <x:v>-</x:v>
      </x:c>
      <x:c r="F6" s="18" t="str">
        <x:v>Original address stored in data_universe.</x:v>
      </x:c>
      <x:c r="G6" s="18" t="str">
        <x:v>data_universe.address</x:v>
      </x:c>
      <x:c r="H6" s="18" t="str">
        <x:v>Free text</x:v>
      </x:c>
      <x:c r="I6" s="18" t="str">
        <x:v>1 AVON ROAD PYMBLE</x:v>
      </x:c>
    </x:row>
    <x:row r="7" ht="180" hidden="0" customHeight="1">
      <x:c r="A7" s="18" t="n">
        <x:v>3</x:v>
      </x:c>
      <x:c r="B7" s="18" t="str">
        <x:v>canonical_address</x:v>
      </x:c>
      <x:c r="C7" s="18" t="str">
        <x:v>text</x:v>
      </x:c>
      <x:c r="D7" s="18" t="str">
        <x:v>Yes</x:v>
      </x:c>
      <x:c r="E7" s="18" t="str">
        <x:v>Indexed</x:v>
      </x:c>
      <x:c r="F7" s="18" t="str">
        <x:v>Non-unit normalized parcel address used for grouping.</x:v>
      </x:c>
      <x:c r="G7" s="18" t="str">
        <x:v>Unique non-unit Land Valuer address; otherwise non-unit data_universe; otherwise unique non-unit property_source address.</x:v>
      </x:c>
      <x:c r="H7" s="18" t="str">
        <x:v>Uppercase normalized address or null</x:v>
      </x:c>
      <x:c r="I7" s="18" t="str">
        <x:v>1 AVON ROAD PYMBLE</x:v>
      </x:c>
    </x:row>
    <x:row r="8" ht="84" hidden="0" customHeight="1">
      <x:c r="A8" s="18" t="n">
        <x:v>4</x:v>
      </x:c>
      <x:c r="B8" s="18" t="str">
        <x:v>canonical_address_source</x:v>
      </x:c>
      <x:c r="C8" s="18" t="str">
        <x:v>text</x:v>
      </x:c>
      <x:c r="D8" s="18" t="str">
        <x:v>Yes</x:v>
      </x:c>
      <x:c r="E8" s="18" t="str">
        <x:v>-</x:v>
      </x:c>
      <x:c r="F8" s="18" t="str">
        <x:v>Source selected for canonical_address.</x:v>
      </x:c>
      <x:c r="G8" s="18" t="str">
        <x:v>Ordered address-source rule.</x:v>
      </x:c>
      <x:c r="H8" s="18" t="str">
        <x:v>land_valuation | data_universe | property_source | none</x:v>
      </x:c>
      <x:c r="I8" s="18" t="str">
        <x:v>land_valuation</x:v>
      </x:c>
    </x:row>
    <x:row r="9" ht="108" hidden="0" customHeight="1">
      <x:c r="A9" s="18" t="n">
        <x:v>5</x:v>
      </x:c>
      <x:c r="B9" s="18" t="str">
        <x:v>data_universe_address_has_unit</x:v>
      </x:c>
      <x:c r="C9" s="18" t="str">
        <x:v>boolean</x:v>
      </x:c>
      <x:c r="D9" s="18" t="str">
        <x:v>Yes</x:v>
      </x:c>
      <x:c r="E9" s="18" t="str">
        <x:v>-</x:v>
      </x:c>
      <x:c r="F9" s="18" t="str">
        <x:v>True when the data_universe address begins with a slash-style unit prefix.</x:v>
      </x:c>
      <x:c r="G9" s="18" t="str">
        <x:v>address_has_unit_number(original_address)</x:v>
      </x:c>
      <x:c r="H9" s="18" t="str">
        <x:v>true | false</x:v>
      </x:c>
      <x:c r="I9" s="18" t="str">
        <x:v>false</x:v>
      </x:c>
    </x:row>
    <x:row r="10" ht="84" hidden="0" customHeight="1">
      <x:c r="A10" s="18" t="n">
        <x:v>6</x:v>
      </x:c>
      <x:c r="B10" s="18" t="str">
        <x:v>property_source_has_unit_addresses</x:v>
      </x:c>
      <x:c r="C10" s="18" t="str">
        <x:v>boolean</x:v>
      </x:c>
      <x:c r="D10" s="18" t="str">
        <x:v>Yes</x:v>
      </x:c>
      <x:c r="E10" s="18" t="str">
        <x:v>-</x:v>
      </x:c>
      <x:c r="F10" s="18" t="str">
        <x:v>True when any property_source row for the prop_id is unit-level.</x:v>
      </x:c>
      <x:c r="G10" s="18" t="str">
        <x:v>bool_or over property_source</x:v>
      </x:c>
      <x:c r="H10" s="18" t="str">
        <x:v>true | false</x:v>
      </x:c>
      <x:c r="I10" s="18" t="str">
        <x:v>true</x:v>
      </x:c>
    </x:row>
    <x:row r="11" ht="84" hidden="0" customHeight="1">
      <x:c r="A11" s="18" t="n">
        <x:v>7</x:v>
      </x:c>
      <x:c r="B11" s="18" t="str">
        <x:v>property_source_base_address_count</x:v>
      </x:c>
      <x:c r="C11" s="18" t="str">
        <x:v>integer</x:v>
      </x:c>
      <x:c r="D11" s="18" t="str">
        <x:v>Yes</x:v>
      </x:c>
      <x:c r="E11" s="18" t="str">
        <x:v>-</x:v>
      </x:c>
      <x:c r="F11" s="18" t="str">
        <x:v>Distinct non-unit property_source addresses for the prop_id.</x:v>
      </x:c>
      <x:c r="G11" s="18" t="str">
        <x:v>Unit-level rows are excluded before counting.</x:v>
      </x:c>
      <x:c r="H11" s="18" t="str">
        <x:v>0 or positive integer</x:v>
      </x:c>
      <x:c r="I11" s="18" t="str">
        <x:v>1</x:v>
      </x:c>
    </x:row>
    <x:row r="12" ht="108" hidden="0" customHeight="1">
      <x:c r="A12" s="18" t="n">
        <x:v>8</x:v>
      </x:c>
      <x:c r="B12" s="18" t="str">
        <x:v>has_land_valuation</x:v>
      </x:c>
      <x:c r="C12" s="18" t="str">
        <x:v>boolean</x:v>
      </x:c>
      <x:c r="D12" s="18" t="str">
        <x:v>Yes</x:v>
      </x:c>
      <x:c r="E12" s="18" t="str">
        <x:v>-</x:v>
      </x:c>
      <x:c r="F12" s="18" t="str">
        <x:v>Whether the prop_id appears in urban, semi or rural Land Valuer data.</x:v>
      </x:c>
      <x:c r="G12" s="18" t="str">
        <x:v>Union of the three Land Valuer tables.</x:v>
      </x:c>
      <x:c r="H12" s="18" t="str">
        <x:v>true | false</x:v>
      </x:c>
      <x:c r="I12" s="18" t="str">
        <x:v>true</x:v>
      </x:c>
    </x:row>
    <x:row r="13" ht="84" hidden="0" customHeight="1">
      <x:c r="A13" s="18" t="n">
        <x:v>9</x:v>
      </x:c>
      <x:c r="B13" s="18" t="str">
        <x:v>land_valuation_address_count</x:v>
      </x:c>
      <x:c r="C13" s="18" t="str">
        <x:v>integer</x:v>
      </x:c>
      <x:c r="D13" s="18" t="str">
        <x:v>Yes</x:v>
      </x:c>
      <x:c r="E13" s="18" t="str">
        <x:v>-</x:v>
      </x:c>
      <x:c r="F13" s="18" t="str">
        <x:v>Distinct non-unit Land Valuer addresses for the prop_id.</x:v>
      </x:c>
      <x:c r="G13" s="18" t="str">
        <x:v>Unit-level Land Valuer rows are excluded before counting.</x:v>
      </x:c>
      <x:c r="H13" s="18" t="str">
        <x:v>0 or positive integer</x:v>
      </x:c>
      <x:c r="I13" s="18" t="str">
        <x:v>1</x:v>
      </x:c>
    </x:row>
    <x:row r="14" ht="96" hidden="0" customHeight="1">
      <x:c r="A14" s="18" t="n">
        <x:v>10</x:v>
      </x:c>
      <x:c r="B14" s="18" t="str">
        <x:v>land_valuation_address_conflict</x:v>
      </x:c>
      <x:c r="C14" s="18" t="str">
        <x:v>boolean</x:v>
      </x:c>
      <x:c r="D14" s="18" t="str">
        <x:v>Yes</x:v>
      </x:c>
      <x:c r="E14" s="18" t="str">
        <x:v>-</x:v>
      </x:c>
      <x:c r="F14" s="18" t="str">
        <x:v>True when more than one non-unit Land Valuer address remains.</x:v>
      </x:c>
      <x:c r="G14" s="18" t="str">
        <x:v>land_valuation_address_count &gt; 1</x:v>
      </x:c>
      <x:c r="H14" s="18" t="str">
        <x:v>true | false</x:v>
      </x:c>
      <x:c r="I14" s="18" t="str">
        <x:v>false</x:v>
      </x:c>
    </x:row>
    <x:row r="15" ht="84" hidden="0" customHeight="1">
      <x:c r="A15" s="18" t="n">
        <x:v>11</x:v>
      </x:c>
      <x:c r="B15" s="18" t="str">
        <x:v>land_valuation_has_unit_addresses</x:v>
      </x:c>
      <x:c r="C15" s="18" t="str">
        <x:v>boolean</x:v>
      </x:c>
      <x:c r="D15" s="18" t="str">
        <x:v>Yes</x:v>
      </x:c>
      <x:c r="E15" s="18" t="str">
        <x:v>-</x:v>
      </x:c>
      <x:c r="F15" s="18" t="str">
        <x:v>True when any Land Valuer address for the prop_id is unit-level.</x:v>
      </x:c>
      <x:c r="G15" s="18" t="str">
        <x:v>bool_or over Land Valuer rows</x:v>
      </x:c>
      <x:c r="H15" s="18" t="str">
        <x:v>true | false</x:v>
      </x:c>
      <x:c r="I15" s="18" t="str">
        <x:v>false</x:v>
      </x:c>
    </x:row>
    <x:row r="16" ht="84" hidden="0" customHeight="1">
      <x:c r="A16" s="18" t="n">
        <x:v>12</x:v>
      </x:c>
      <x:c r="B16" s="18" t="str">
        <x:v>valuation_tables</x:v>
      </x:c>
      <x:c r="C16" s="18" t="str">
        <x:v>text</x:v>
      </x:c>
      <x:c r="D16" s="18" t="str">
        <x:v>Yes</x:v>
      </x:c>
      <x:c r="E16" s="18" t="str">
        <x:v>-</x:v>
      </x:c>
      <x:c r="F16" s="18" t="str">
        <x:v>Land Valuer table groups containing the prop_id.</x:v>
      </x:c>
      <x:c r="G16" s="18" t="str">
        <x:v>Distinct urban/semi/rural labels.</x:v>
      </x:c>
      <x:c r="H16" s="18" t="str">
        <x:v>Comma-separated labels</x:v>
      </x:c>
      <x:c r="I16" s="18" t="str">
        <x:v>urban</x:v>
      </x:c>
    </x:row>
    <x:row r="17" ht="84" hidden="0" customHeight="1">
      <x:c r="A17" s="18" t="n">
        <x:v>13</x:v>
      </x:c>
      <x:c r="B17" s="18" t="str">
        <x:v>latest_valuation_basis_date</x:v>
      </x:c>
      <x:c r="C17" s="18" t="str">
        <x:v>date</x:v>
      </x:c>
      <x:c r="D17" s="18" t="str">
        <x:v>Yes</x:v>
      </x:c>
      <x:c r="E17" s="18" t="str">
        <x:v>-</x:v>
      </x:c>
      <x:c r="F17" s="18" t="str">
        <x:v>Latest valuation basis date.</x:v>
      </x:c>
      <x:c r="G17" s="18" t="str">
        <x:v>Maximum val1_bd to val5_bd across Land Valuer rows.</x:v>
      </x:c>
      <x:c r="H17" s="18" t="str">
        <x:v>Date</x:v>
      </x:c>
      <x:c r="I17" s="18" t="str">
        <x:v>2025-07-01</x:v>
      </x:c>
    </x:row>
    <x:row r="18" ht="60" hidden="0" customHeight="1">
      <x:c r="A18" s="18" t="n">
        <x:v>14</x:v>
      </x:c>
      <x:c r="B18" s="18" t="str">
        <x:v>latest_valuation_validity_date</x:v>
      </x:c>
      <x:c r="C18" s="18" t="str">
        <x:v>date</x:v>
      </x:c>
      <x:c r="D18" s="18" t="str">
        <x:v>Yes</x:v>
      </x:c>
      <x:c r="E18" s="18" t="str">
        <x:v>-</x:v>
      </x:c>
      <x:c r="F18" s="18" t="str">
        <x:v>Latest Land Valuer validity date.</x:v>
      </x:c>
      <x:c r="G18" s="18" t="str">
        <x:v>Maximum validity_d.</x:v>
      </x:c>
      <x:c r="H18" s="18" t="str">
        <x:v>Date</x:v>
      </x:c>
      <x:c r="I18" s="18" t="str">
        <x:v>2025-12-07</x:v>
      </x:c>
    </x:row>
    <x:row r="19" ht="96" hidden="0" customHeight="1">
      <x:c r="A19" s="18" t="n">
        <x:v>15</x:v>
      </x:c>
      <x:c r="B19" s="18" t="str">
        <x:v>has_historical_sale</x:v>
      </x:c>
      <x:c r="C19" s="18" t="str">
        <x:v>boolean</x:v>
      </x:c>
      <x:c r="D19" s="18" t="str">
        <x:v>Yes</x:v>
      </x:c>
      <x:c r="E19" s="18" t="str">
        <x:v>-</x:v>
      </x:c>
      <x:c r="F19" s="18" t="str">
        <x:v>Whether the prop_id appears anywhere in historical sales.</x:v>
      </x:c>
      <x:c r="G19" s="18" t="str">
        <x:v>nsw_property_sales_all_history match.</x:v>
      </x:c>
      <x:c r="H19" s="18" t="str">
        <x:v>true | false</x:v>
      </x:c>
      <x:c r="I19" s="18" t="str">
        <x:v>true</x:v>
      </x:c>
    </x:row>
    <x:row r="20" ht="108" hidden="0" customHeight="1">
      <x:c r="A20" s="18" t="n">
        <x:v>16</x:v>
      </x:c>
      <x:c r="B20" s="18" t="str">
        <x:v>has_recent_historical_import</x:v>
      </x:c>
      <x:c r="C20" s="18" t="str">
        <x:v>boolean</x:v>
      </x:c>
      <x:c r="D20" s="18" t="str">
        <x:v>Yes</x:v>
      </x:c>
      <x:c r="E20" s="18" t="str">
        <x:v>-</x:v>
      </x:c>
      <x:c r="F20" s="18" t="str">
        <x:v>Whether the prop_id has a sales row imported on or after 1 June 2026.</x:v>
      </x:c>
      <x:c r="G20" s="18" t="str">
        <x:v>imported_at &gt;= 2026-06-01 00:00:00+00</x:v>
      </x:c>
      <x:c r="H20" s="18" t="str">
        <x:v>true | false</x:v>
      </x:c>
      <x:c r="I20" s="18" t="str">
        <x:v>true</x:v>
      </x:c>
    </x:row>
    <x:row r="21" ht="84" hidden="0" customHeight="1">
      <x:c r="A21" s="18" t="n">
        <x:v>17</x:v>
      </x:c>
      <x:c r="B21" s="18" t="str">
        <x:v>latest_recent_import_at</x:v>
      </x:c>
      <x:c r="C21" s="18" t="str">
        <x:v>timestamp with time zone</x:v>
      </x:c>
      <x:c r="D21" s="18" t="str">
        <x:v>Yes</x:v>
      </x:c>
      <x:c r="E21" s="18" t="str">
        <x:v>-</x:v>
      </x:c>
      <x:c r="F21" s="18" t="str">
        <x:v>Latest qualifying historical-sales import timestamp.</x:v>
      </x:c>
      <x:c r="G21" s="18" t="str">
        <x:v>Maximum imported_at from 1 June 2026 onward.</x:v>
      </x:c>
      <x:c r="H21" s="18" t="str">
        <x:v>Timestamp or null</x:v>
      </x:c>
      <x:c r="I21" s="18" t="str">
        <x:v>2026-07-07</x:v>
      </x:c>
    </x:row>
    <x:row r="22" ht="84" hidden="0" customHeight="1">
      <x:c r="A22" s="18" t="n">
        <x:v>18</x:v>
      </x:c>
      <x:c r="B22" s="18" t="str">
        <x:v>latest_sale_date</x:v>
      </x:c>
      <x:c r="C22" s="18" t="str">
        <x:v>date</x:v>
      </x:c>
      <x:c r="D22" s="18" t="str">
        <x:v>Yes</x:v>
      </x:c>
      <x:c r="E22" s="18" t="str">
        <x:v>Indexed descending</x:v>
      </x:c>
      <x:c r="F22" s="18" t="str">
        <x:v>Latest sale date across all historical sales for the prop_id.</x:v>
      </x:c>
      <x:c r="G22" s="18" t="str">
        <x:v>Maximum sale_date.</x:v>
      </x:c>
      <x:c r="H22" s="18" t="str">
        <x:v>Date or null</x:v>
      </x:c>
      <x:c r="I22" s="18" t="str">
        <x:v>2026-06-29</x:v>
      </x:c>
    </x:row>
    <x:row r="23" ht="84" hidden="0" customHeight="1">
      <x:c r="A23" s="18" t="n">
        <x:v>19</x:v>
      </x:c>
      <x:c r="B23" s="18" t="str">
        <x:v>latest_property_update</x:v>
      </x:c>
      <x:c r="C23" s="18" t="str">
        <x:v>timestamp with time zone</x:v>
      </x:c>
      <x:c r="D23" s="18" t="str">
        <x:v>Yes</x:v>
      </x:c>
      <x:c r="E23" s="18" t="str">
        <x:v>-</x:v>
      </x:c>
      <x:c r="F23" s="18" t="str">
        <x:v>Latest property_source update timestamp.</x:v>
      </x:c>
      <x:c r="G23" s="18" t="str">
        <x:v>Maximum lastupdate converted from epoch milliseconds.</x:v>
      </x:c>
      <x:c r="H23" s="18" t="str">
        <x:v>Timestamp or null</x:v>
      </x:c>
      <x:c r="I23" s="18" t="str">
        <x:v>2018-10-17</x:v>
      </x:c>
    </x:row>
    <x:row r="24" ht="84" hidden="0" customHeight="1">
      <x:c r="A24" s="18" t="n">
        <x:v>20</x:v>
      </x:c>
      <x:c r="B24" s="18" t="str">
        <x:v>activity_evidence</x:v>
      </x:c>
      <x:c r="C24" s="18" t="str">
        <x:v>text</x:v>
      </x:c>
      <x:c r="D24" s="18" t="str">
        <x:v>Yes</x:v>
      </x:c>
      <x:c r="E24" s="18" t="str">
        <x:v>-</x:v>
      </x:c>
      <x:c r="F24" s="18" t="str">
        <x:v>Strongest available source category.</x:v>
      </x:c>
      <x:c r="G24" s="18" t="str">
        <x:v>Land Valuer, then sale history, then property_source.</x:v>
      </x:c>
      <x:c r="H24" s="18" t="str">
        <x:v>land_valuation | sale_history_only | property_source_only</x:v>
      </x:c>
      <x:c r="I24" s="18" t="str">
        <x:v>land_valuation</x:v>
      </x:c>
    </x:row>
    <x:row r="25" ht="144" hidden="0" customHeight="1">
      <x:c r="A25" s="18" t="n">
        <x:v>21</x:v>
      </x:c>
      <x:c r="B25" s="18" t="str">
        <x:v>eligible_for_primary_address</x:v>
      </x:c>
      <x:c r="C25" s="18" t="str">
        <x:v>boolean</x:v>
      </x:c>
      <x:c r="D25" s="18" t="str">
        <x:v>Yes</x:v>
      </x:c>
      <x:c r="E25" s="18" t="str">
        <x:v>-</x:v>
      </x:c>
      <x:c r="F25" s="18" t="str">
        <x:v>Whether this row has a usable non-unit canonical address and no Land Valuer address conflict.</x:v>
      </x:c>
      <x:c r="G25" s="18" t="str">
        <x:v>canonical_address is not null and conflict is false.</x:v>
      </x:c>
      <x:c r="H25" s="18" t="str">
        <x:v>true | false</x:v>
      </x:c>
      <x:c r="I25" s="18" t="str">
        <x:v>true</x:v>
      </x:c>
    </x:row>
    <x:row r="26" ht="72" hidden="0" customHeight="1">
      <x:c r="A26" s="19" t="n">
        <x:v>22</x:v>
      </x:c>
      <x:c r="B26" s="19" t="str">
        <x:v>generated_at</x:v>
      </x:c>
      <x:c r="C26" s="19" t="str">
        <x:v>timestamp with time zone</x:v>
      </x:c>
      <x:c r="D26" s="19" t="str">
        <x:v>Yes</x:v>
      </x:c>
      <x:c r="E26" s="19" t="str">
        <x:v>-</x:v>
      </x:c>
      <x:c r="F26" s="19" t="str">
        <x:v>Timestamp when the mapping build generated the row.</x:v>
      </x:c>
      <x:c r="G26" s="19" t="str">
        <x:v>Database now() during build.</x:v>
      </x:c>
      <x:c r="H26" s="19" t="str">
        <x:v>Timestamp</x:v>
      </x:c>
      <x:c r="I26" s="19" t="str">
        <x:v>2026-07-18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5e7486f3b47e48b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47" hidden="0" customWidth="1"/>
    <x:col min="3" max="3" width="22" hidden="0" customWidth="1"/>
    <x:col min="4" max="4" width="11" hidden="0" customWidth="1"/>
    <x:col min="5" max="5" width="20" hidden="0" customWidth="1"/>
    <x:col min="6" max="6" width="50" hidden="0" customWidth="1"/>
    <x:col min="7" max="7" width="58" hidden="0" customWidth="1"/>
    <x:col min="8" max="8" width="48" hidden="0" customWidth="1"/>
    <x:col min="9" max="9" width="31" hidden="0" customWidth="1"/>
  </x:cols>
  <x:sheetData>
    <x:row r="1" ht="32" customHeight="1">
      <x:c r="A1" s="30" t="str">
        <x:v>Master Map - Column Dictionary</x:v>
      </x:c>
    </x:row>
    <x:row r="2" ht="34" customHeight="1">
      <x:c r="A2" s="31" t="str">
        <x:v>One row per prop_id. All rows at a resolved address receive the same primary_prop_id; unresolved rows remain null.</x:v>
      </x:c>
    </x:row>
    <x:row r="4" ht="28" customHeight="1">
      <x:c r="A4" s="34" t="str">
        <x:v>Position</x:v>
      </x:c>
      <x:c r="B4" s="34" t="str">
        <x:v>Column</x:v>
      </x:c>
      <x:c r="C4" s="34" t="str">
        <x:v>PostgreSQL type</x:v>
      </x:c>
      <x:c r="D4" s="34" t="str">
        <x:v>Nullable</x:v>
      </x:c>
      <x:c r="E4" s="34" t="str">
        <x:v>Key / index</x:v>
      </x:c>
      <x:c r="F4" s="34" t="str">
        <x:v>Business definition</x:v>
      </x:c>
      <x:c r="G4" s="34" t="str">
        <x:v>Derivation / source</x:v>
      </x:c>
      <x:c r="H4" s="34" t="str">
        <x:v>Allowed values / format</x:v>
      </x:c>
      <x:c r="I4" s="34" t="str">
        <x:v>Example</x:v>
      </x:c>
    </x:row>
    <x:row r="5" ht="60" hidden="0" customHeight="1">
      <x:c r="A5" s="17" t="n">
        <x:v>1</x:v>
      </x:c>
      <x:c r="B5" s="17" t="str">
        <x:v>prop_id</x:v>
      </x:c>
      <x:c r="C5" s="17" t="str">
        <x:v>bigint</x:v>
      </x:c>
      <x:c r="D5" s="17" t="str">
        <x:v>No</x:v>
      </x:c>
      <x:c r="E5" s="17" t="str">
        <x:v>Primary key</x:v>
      </x:c>
      <x:c r="F5" s="17" t="str">
        <x:v>Input prop_id receiving a mapping decision.</x:v>
      </x:c>
      <x:c r="G5" s="17" t="str">
        <x:v>Candidate prop_id.</x:v>
      </x:c>
      <x:c r="H5" s="17" t="str">
        <x:v>Unique bigint</x:v>
      </x:c>
      <x:c r="I5" s="17" t="str">
        <x:v>441355</x:v>
      </x:c>
    </x:row>
    <x:row r="6" ht="72" hidden="0" customHeight="1">
      <x:c r="A6" s="18" t="n">
        <x:v>2</x:v>
      </x:c>
      <x:c r="B6" s="18" t="str">
        <x:v>canonical_address</x:v>
      </x:c>
      <x:c r="C6" s="18" t="str">
        <x:v>text</x:v>
      </x:c>
      <x:c r="D6" s="18" t="str">
        <x:v>Yes</x:v>
      </x:c>
      <x:c r="E6" s="18" t="str">
        <x:v>Indexed</x:v>
      </x:c>
      <x:c r="F6" s="18" t="str">
        <x:v>Non-unit parcel address used to compare prop_ids.</x:v>
      </x:c>
      <x:c r="G6" s="18" t="str">
        <x:v>Candidate canonical_address.</x:v>
      </x:c>
      <x:c r="H6" s="18" t="str">
        <x:v>Normalized address or null</x:v>
      </x:c>
      <x:c r="I6" s="18" t="str">
        <x:v>IRONMUNGIE ROAD MAFFRA</x:v>
      </x:c>
    </x:row>
    <x:row r="7" ht="84" hidden="0" customHeight="1">
      <x:c r="A7" s="18" t="n">
        <x:v>3</x:v>
      </x:c>
      <x:c r="B7" s="18" t="str">
        <x:v>primary_prop_id</x:v>
      </x:c>
      <x:c r="C7" s="18" t="str">
        <x:v>bigint</x:v>
      </x:c>
      <x:c r="D7" s="18" t="str">
        <x:v>Yes</x:v>
      </x:c>
      <x:c r="E7" s="18" t="str">
        <x:v>Indexed</x:v>
      </x:c>
      <x:c r="F7" s="18" t="str">
        <x:v>Preferred project mapping ID; null means unresolved.</x:v>
      </x:c>
      <x:c r="G7" s="18" t="str">
        <x:v>Selected by the four ordered primary rules.</x:v>
      </x:c>
      <x:c r="H7" s="18" t="str">
        <x:v>prop_id or null</x:v>
      </x:c>
      <x:c r="I7" s="18" t="str">
        <x:v>4482896</x:v>
      </x:c>
    </x:row>
    <x:row r="8" ht="120" hidden="0" customHeight="1">
      <x:c r="A8" s="18" t="n">
        <x:v>4</x:v>
      </x:c>
      <x:c r="B8" s="18" t="str">
        <x:v>primary_selection_rule</x:v>
      </x:c>
      <x:c r="C8" s="18" t="str">
        <x:v>text</x:v>
      </x:c>
      <x:c r="D8" s="18" t="str">
        <x:v>Yes</x:v>
      </x:c>
      <x:c r="E8" s="18" t="str">
        <x:v>-</x:v>
      </x:c>
      <x:c r="F8" s="18" t="str">
        <x:v>Rule that selected the primary for the address.</x:v>
      </x:c>
      <x:c r="G8" s="18" t="str">
        <x:v>First successful rule wins.</x:v>
      </x:c>
      <x:c r="H8" s="18" t="str">
        <x:v>historical_sales_and_land_valuation | land_valuation_only | recent_historical_sales_latest_sale | null</x:v>
      </x:c>
      <x:c r="I8" s="18" t="str">
        <x:v>recent_historical_sales_latest_sale</x:v>
      </x:c>
    </x:row>
    <x:row r="9" ht="72" hidden="0" customHeight="1">
      <x:c r="A9" s="18" t="n">
        <x:v>5</x:v>
      </x:c>
      <x:c r="B9" s="18" t="str">
        <x:v>mapping_status</x:v>
      </x:c>
      <x:c r="C9" s="18" t="str">
        <x:v>text</x:v>
      </x:c>
      <x:c r="D9" s="18" t="str">
        <x:v>Yes</x:v>
      </x:c>
      <x:c r="E9" s="18" t="str">
        <x:v>Indexed</x:v>
      </x:c>
      <x:c r="F9" s="18" t="str">
        <x:v>Row-level mapping outcome.</x:v>
      </x:c>
      <x:c r="G9" s="18" t="str">
        <x:v>Primary, obsolete/linked, ignored, or review status.</x:v>
      </x:c>
      <x:c r="H9" s="18" t="str">
        <x:v>See Status Codes</x:v>
      </x:c>
      <x:c r="I9" s="18" t="str">
        <x:v>obsolete_candidate</x:v>
      </x:c>
    </x:row>
    <x:row r="10" ht="120" hidden="0" customHeight="1">
      <x:c r="A10" s="18" t="n">
        <x:v>6</x:v>
      </x:c>
      <x:c r="B10" s="18" t="str">
        <x:v>mapping_confidence</x:v>
      </x:c>
      <x:c r="C10" s="18" t="str">
        <x:v>text</x:v>
      </x:c>
      <x:c r="D10" s="18" t="str">
        <x:v>Yes</x:v>
      </x:c>
      <x:c r="E10" s="18" t="str">
        <x:v>-</x:v>
      </x:c>
      <x:c r="F10" s="18" t="str">
        <x:v>Confidence tier for the selected address decision.</x:v>
      </x:c>
      <x:c r="G10" s="18" t="str">
        <x:v>Both sources = high; Land Valuer-only or latest recent sale = medium; unresolved = review.</x:v>
      </x:c>
      <x:c r="H10" s="18" t="str">
        <x:v>high | medium | review</x:v>
      </x:c>
      <x:c r="I10" s="18" t="str">
        <x:v>medium</x:v>
      </x:c>
    </x:row>
    <x:row r="11" ht="60" hidden="0" customHeight="1">
      <x:c r="A11" s="18" t="n">
        <x:v>7</x:v>
      </x:c>
      <x:c r="B11" s="18" t="str">
        <x:v>prop_ids_at_address</x:v>
      </x:c>
      <x:c r="C11" s="18" t="str">
        <x:v>integer</x:v>
      </x:c>
      <x:c r="D11" s="18" t="str">
        <x:v>Yes</x:v>
      </x:c>
      <x:c r="E11" s="18" t="str">
        <x:v>-</x:v>
      </x:c>
      <x:c r="F11" s="18" t="str">
        <x:v>Eligible prop_ids sharing the address.</x:v>
      </x:c>
      <x:c r="G11" s="18" t="str">
        <x:v>Grouped count after unit exclusion.</x:v>
      </x:c>
      <x:c r="H11" s="18" t="str">
        <x:v>0 or positive integer</x:v>
      </x:c>
      <x:c r="I11" s="18" t="str">
        <x:v>6</x:v>
      </x:c>
    </x:row>
    <x:row r="12" ht="96" hidden="0" customHeight="1">
      <x:c r="A12" s="18" t="n">
        <x:v>8</x:v>
      </x:c>
      <x:c r="B12" s="18" t="str">
        <x:v>sales_and_land_valuation_prop_ids_at_address</x:v>
      </x:c>
      <x:c r="C12" s="18" t="str">
        <x:v>integer</x:v>
      </x:c>
      <x:c r="D12" s="18" t="str">
        <x:v>Yes</x:v>
      </x:c>
      <x:c r="E12" s="18" t="str">
        <x:v>-</x:v>
      </x:c>
      <x:c r="F12" s="18" t="str">
        <x:v>Eligible prop_ids present in both historical sales and Land Valuer.</x:v>
      </x:c>
      <x:c r="G12" s="18" t="str">
        <x:v>Step 2 candidate count.</x:v>
      </x:c>
      <x:c r="H12" s="18" t="str">
        <x:v>0 or positive integer</x:v>
      </x:c>
      <x:c r="I12" s="18" t="str">
        <x:v>0</x:v>
      </x:c>
    </x:row>
    <x:row r="13" ht="60" hidden="0" customHeight="1">
      <x:c r="A13" s="18" t="n">
        <x:v>9</x:v>
      </x:c>
      <x:c r="B13" s="18" t="str">
        <x:v>land_valuation_prop_ids_at_address</x:v>
      </x:c>
      <x:c r="C13" s="18" t="str">
        <x:v>integer</x:v>
      </x:c>
      <x:c r="D13" s="18" t="str">
        <x:v>Yes</x:v>
      </x:c>
      <x:c r="E13" s="18" t="str">
        <x:v>-</x:v>
      </x:c>
      <x:c r="F13" s="18" t="str">
        <x:v>Eligible prop_ids present in Land Valuer.</x:v>
      </x:c>
      <x:c r="G13" s="18" t="str">
        <x:v>Step 3 candidate count.</x:v>
      </x:c>
      <x:c r="H13" s="18" t="str">
        <x:v>0 or positive integer</x:v>
      </x:c>
      <x:c r="I13" s="18" t="str">
        <x:v>0</x:v>
      </x:c>
    </x:row>
    <x:row r="14" ht="96" hidden="0" customHeight="1">
      <x:c r="A14" s="18" t="n">
        <x:v>10</x:v>
      </x:c>
      <x:c r="B14" s="18" t="str">
        <x:v>recent_historical_sale_prop_ids_at_address</x:v>
      </x:c>
      <x:c r="C14" s="18" t="str">
        <x:v>integer</x:v>
      </x:c>
      <x:c r="D14" s="18" t="str">
        <x:v>Yes</x:v>
      </x:c>
      <x:c r="E14" s="18" t="str">
        <x:v>-</x:v>
      </x:c>
      <x:c r="F14" s="18" t="str">
        <x:v>Eligible prop_ids with a sale row imported from 1 June 2026 onward.</x:v>
      </x:c>
      <x:c r="G14" s="18" t="str">
        <x:v>Step 4 candidate count.</x:v>
      </x:c>
      <x:c r="H14" s="18" t="str">
        <x:v>0 or positive integer</x:v>
      </x:c>
      <x:c r="I14" s="18" t="str">
        <x:v>1</x:v>
      </x:c>
    </x:row>
    <x:row r="15" ht="84" hidden="0" customHeight="1">
      <x:c r="A15" s="18" t="n">
        <x:v>11</x:v>
      </x:c>
      <x:c r="B15" s="18" t="str">
        <x:v>latest_recent_sale_date_at_address</x:v>
      </x:c>
      <x:c r="C15" s="18" t="str">
        <x:v>date</x:v>
      </x:c>
      <x:c r="D15" s="18" t="str">
        <x:v>Yes</x:v>
      </x:c>
      <x:c r="E15" s="18" t="str">
        <x:v>-</x:v>
      </x:c>
      <x:c r="F15" s="18" t="str">
        <x:v>Latest sale date among step 4 candidates.</x:v>
      </x:c>
      <x:c r="G15" s="18" t="str">
        <x:v>Maximum latest_sale_date for recent-import candidates.</x:v>
      </x:c>
      <x:c r="H15" s="18" t="str">
        <x:v>Date or null</x:v>
      </x:c>
      <x:c r="I15" s="18" t="str">
        <x:v>2026-06-29</x:v>
      </x:c>
    </x:row>
    <x:row r="16" ht="72" hidden="0" customHeight="1">
      <x:c r="A16" s="18" t="n">
        <x:v>12</x:v>
      </x:c>
      <x:c r="B16" s="18" t="str">
        <x:v>has_historical_sale</x:v>
      </x:c>
      <x:c r="C16" s="18" t="str">
        <x:v>boolean</x:v>
      </x:c>
      <x:c r="D16" s="18" t="str">
        <x:v>Yes</x:v>
      </x:c>
      <x:c r="E16" s="18" t="str">
        <x:v>-</x:v>
      </x:c>
      <x:c r="F16" s="18" t="str">
        <x:v>Whether this prop_id appears in historical sales.</x:v>
      </x:c>
      <x:c r="G16" s="18" t="str">
        <x:v>Candidate evidence.</x:v>
      </x:c>
      <x:c r="H16" s="18" t="str">
        <x:v>true | false</x:v>
      </x:c>
      <x:c r="I16" s="18" t="str">
        <x:v>true</x:v>
      </x:c>
    </x:row>
    <x:row r="17" ht="108" hidden="0" customHeight="1">
      <x:c r="A17" s="18" t="n">
        <x:v>13</x:v>
      </x:c>
      <x:c r="B17" s="18" t="str">
        <x:v>has_recent_historical_import</x:v>
      </x:c>
      <x:c r="C17" s="18" t="str">
        <x:v>boolean</x:v>
      </x:c>
      <x:c r="D17" s="18" t="str">
        <x:v>Yes</x:v>
      </x:c>
      <x:c r="E17" s="18" t="str">
        <x:v>-</x:v>
      </x:c>
      <x:c r="F17" s="18" t="str">
        <x:v>Whether this prop_id has a sale row imported from 1 June 2026 onward.</x:v>
      </x:c>
      <x:c r="G17" s="18" t="str">
        <x:v>Candidate evidence.</x:v>
      </x:c>
      <x:c r="H17" s="18" t="str">
        <x:v>true | false</x:v>
      </x:c>
      <x:c r="I17" s="18" t="str">
        <x:v>false</x:v>
      </x:c>
    </x:row>
    <x:row r="18" ht="72" hidden="0" customHeight="1">
      <x:c r="A18" s="18" t="n">
        <x:v>14</x:v>
      </x:c>
      <x:c r="B18" s="18" t="str">
        <x:v>latest_recent_import_at</x:v>
      </x:c>
      <x:c r="C18" s="18" t="str">
        <x:v>timestamp with time zone</x:v>
      </x:c>
      <x:c r="D18" s="18" t="str">
        <x:v>Yes</x:v>
      </x:c>
      <x:c r="E18" s="18" t="str">
        <x:v>-</x:v>
      </x:c>
      <x:c r="F18" s="18" t="str">
        <x:v>Latest qualifying import timestamp for this prop_id.</x:v>
      </x:c>
      <x:c r="G18" s="18" t="str">
        <x:v>Candidate evidence.</x:v>
      </x:c>
      <x:c r="H18" s="18" t="str">
        <x:v>Timestamp or null</x:v>
      </x:c>
      <x:c r="I18" s="18" t="str">
        <x:v>2026-07-07</x:v>
      </x:c>
    </x:row>
    <x:row r="19" ht="60" hidden="0" customHeight="1">
      <x:c r="A19" s="18" t="n">
        <x:v>15</x:v>
      </x:c>
      <x:c r="B19" s="18" t="str">
        <x:v>latest_valuation_basis_date</x:v>
      </x:c>
      <x:c r="C19" s="18" t="str">
        <x:v>date</x:v>
      </x:c>
      <x:c r="D19" s="18" t="str">
        <x:v>Yes</x:v>
      </x:c>
      <x:c r="E19" s="18" t="str">
        <x:v>-</x:v>
      </x:c>
      <x:c r="F19" s="18" t="str">
        <x:v>Latest valuation basis date for this prop_id.</x:v>
      </x:c>
      <x:c r="G19" s="18" t="str">
        <x:v>Candidate evidence.</x:v>
      </x:c>
      <x:c r="H19" s="18" t="str">
        <x:v>Date or null</x:v>
      </x:c>
      <x:c r="I19" s="18" t="str">
        <x:v>2025-07-01</x:v>
      </x:c>
    </x:row>
    <x:row r="20" ht="72" hidden="0" customHeight="1">
      <x:c r="A20" s="18" t="n">
        <x:v>16</x:v>
      </x:c>
      <x:c r="B20" s="18" t="str">
        <x:v>latest_valuation_validity_date</x:v>
      </x:c>
      <x:c r="C20" s="18" t="str">
        <x:v>date</x:v>
      </x:c>
      <x:c r="D20" s="18" t="str">
        <x:v>Yes</x:v>
      </x:c>
      <x:c r="E20" s="18" t="str">
        <x:v>-</x:v>
      </x:c>
      <x:c r="F20" s="18" t="str">
        <x:v>Latest valuation validity date for this prop_id.</x:v>
      </x:c>
      <x:c r="G20" s="18" t="str">
        <x:v>Candidate evidence.</x:v>
      </x:c>
      <x:c r="H20" s="18" t="str">
        <x:v>Date or null</x:v>
      </x:c>
      <x:c r="I20" s="18" t="str">
        <x:v>2025-12-07</x:v>
      </x:c>
    </x:row>
    <x:row r="21" ht="48" hidden="0" customHeight="1">
      <x:c r="A21" s="18" t="n">
        <x:v>17</x:v>
      </x:c>
      <x:c r="B21" s="18" t="str">
        <x:v>latest_sale_date</x:v>
      </x:c>
      <x:c r="C21" s="18" t="str">
        <x:v>date</x:v>
      </x:c>
      <x:c r="D21" s="18" t="str">
        <x:v>Yes</x:v>
      </x:c>
      <x:c r="E21" s="18" t="str">
        <x:v>-</x:v>
      </x:c>
      <x:c r="F21" s="18" t="str">
        <x:v>Latest sale date for this prop_id.</x:v>
      </x:c>
      <x:c r="G21" s="18" t="str">
        <x:v>Candidate evidence.</x:v>
      </x:c>
      <x:c r="H21" s="18" t="str">
        <x:v>Date or null</x:v>
      </x:c>
      <x:c r="I21" s="18" t="str">
        <x:v>2003-07-02</x:v>
      </x:c>
    </x:row>
    <x:row r="22" ht="60" hidden="0" customHeight="1">
      <x:c r="A22" s="18" t="n">
        <x:v>18</x:v>
      </x:c>
      <x:c r="B22" s="18" t="str">
        <x:v>activity_evidence</x:v>
      </x:c>
      <x:c r="C22" s="18" t="str">
        <x:v>text</x:v>
      </x:c>
      <x:c r="D22" s="18" t="str">
        <x:v>Yes</x:v>
      </x:c>
      <x:c r="E22" s="18" t="str">
        <x:v>-</x:v>
      </x:c>
      <x:c r="F22" s="18" t="str">
        <x:v>Strongest source category for this prop_id.</x:v>
      </x:c>
      <x:c r="G22" s="18" t="str">
        <x:v>Candidate evidence.</x:v>
      </x:c>
      <x:c r="H22" s="18" t="str">
        <x:v>See Value Domains</x:v>
      </x:c>
      <x:c r="I22" s="18" t="str">
        <x:v>sale_history_only</x:v>
      </x:c>
    </x:row>
    <x:row r="23" ht="48" hidden="0" customHeight="1">
      <x:c r="A23" s="19" t="n">
        <x:v>19</x:v>
      </x:c>
      <x:c r="B23" s="19" t="str">
        <x:v>generated_at</x:v>
      </x:c>
      <x:c r="C23" s="19" t="str">
        <x:v>timestamp with time zone</x:v>
      </x:c>
      <x:c r="D23" s="19" t="str">
        <x:v>Yes</x:v>
      </x:c>
      <x:c r="E23" s="19" t="str">
        <x:v>-</x:v>
      </x:c>
      <x:c r="F23" s="19" t="str">
        <x:v>Timestamp of the mapping build.</x:v>
      </x:c>
      <x:c r="G23" s="19" t="str">
        <x:v>Candidate generated_at.</x:v>
      </x:c>
      <x:c r="H23" s="19" t="str">
        <x:v>Timestamp</x:v>
      </x:c>
      <x:c r="I23" s="19" t="str">
        <x:v>2026-07-18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6ac5ce51f2d64f0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2" hidden="0" customWidth="1"/>
    <x:col min="2" max="2" width="20" hidden="0" customWidth="1"/>
    <x:col min="3" max="3" width="67" hidden="0" customWidth="1"/>
    <x:col min="4" max="4" width="22" hidden="0" customWidth="1"/>
    <x:col min="5" max="5" width="58" hidden="0" customWidth="1"/>
    <x:col min="6" max="6" width="18" hidden="0" customWidth="1"/>
    <x:col min="7" max="7" width="15" hidden="0" customWidth="1"/>
  </x:cols>
  <x:sheetData>
    <x:row r="1" ht="32" customHeight="1">
      <x:c r="A1" s="30" t="str">
        <x:v>Master Map - Status Codes</x:v>
      </x:c>
    </x:row>
    <x:row r="2" ht="34" customHeight="1">
      <x:c r="A2" s="31" t="str">
        <x:v>Counts are from the rebuilt live tables on 18 July 2026. Every null primary_prop_id is included in data_universe_mapping_review.</x:v>
      </x:c>
    </x:row>
    <x:row r="4" ht="28" customHeight="1">
      <x:c r="A4" s="34" t="str">
        <x:v>mapping_status</x:v>
      </x:c>
      <x:c r="B4" s="34" t="str">
        <x:v>Confidence</x:v>
      </x:c>
      <x:c r="C4" s="34" t="str">
        <x:v>Definition</x:v>
      </x:c>
      <x:c r="D4" s="34" t="str">
        <x:v>primary_prop_id</x:v>
      </x:c>
      <x:c r="E4" s="34" t="str">
        <x:v>Recommended handling</x:v>
      </x:c>
      <x:c r="F4" s="34" t="str">
        <x:v>Current rows</x:v>
      </x:c>
      <x:c r="G4" s="34" t="str">
        <x:v>% of rows</x:v>
      </x:c>
    </x:row>
    <x:row r="5" ht="60" hidden="0" customHeight="1">
      <x:c r="A5" s="17" t="str">
        <x:v>blank_address</x:v>
      </x:c>
      <x:c r="B5" s="17" t="str">
        <x:v>review</x:v>
      </x:c>
      <x:c r="C5" s="17" t="str">
        <x:v>No usable parcel address from any source.</x:v>
      </x:c>
      <x:c r="D5" s="17" t="str">
        <x:v>Null</x:v>
      </x:c>
      <x:c r="E5" s="17" t="str">
        <x:v>Investigate other identifiers.</x:v>
      </x:c>
      <x:c r="F5" s="20" t="n">
        <x:v>2041</x:v>
      </x:c>
      <x:c r="G5" s="35" t="n">
        <x:f>F5/$F$16</x:f>
        <x:v>0.000530337459363964</x:v>
      </x:c>
    </x:row>
    <x:row r="6" ht="120" hidden="0" customHeight="1">
      <x:c r="A6" s="18" t="str">
        <x:v>ignored_unit_address</x:v>
      </x:c>
      <x:c r="B6" s="18" t="str">
        <x:v>review</x:v>
      </x:c>
      <x:c r="C6" s="18" t="str">
        <x:v>Only a unit-level address was available, so it was excluded from parcel grouping.</x:v>
      </x:c>
      <x:c r="D6" s="18" t="str">
        <x:v>Null</x:v>
      </x:c>
      <x:c r="E6" s="18" t="str">
        <x:v>Retain as evidence; do not map by this address.</x:v>
      </x:c>
      <x:c r="F6" s="21" t="n">
        <x:v>845468</x:v>
      </x:c>
      <x:c r="G6" s="36" t="n">
        <x:f>F6/$F$16</x:f>
        <x:v>0.2196880701095208</x:v>
      </x:c>
    </x:row>
    <x:row r="7" ht="96" hidden="0" customHeight="1">
      <x:c r="A7" s="18" t="str">
        <x:v>obsolete_candidate</x:v>
      </x:c>
      <x:c r="B7" s="18" t="str">
        <x:v>high or medium</x:v>
      </x:c>
      <x:c r="C7" s="18" t="str">
        <x:v>Another prop_id was selected as primary at this address.</x:v>
      </x:c>
      <x:c r="D7" s="18" t="str">
        <x:v>Selected primary</x:v>
      </x:c>
      <x:c r="E7" s="18" t="str">
        <x:v>Map only under the documented project rule; not confirmed legal expiry.</x:v>
      </x:c>
      <x:c r="F7" s="21" t="n">
        <x:v>153389</x:v>
      </x:c>
      <x:c r="G7" s="36" t="n">
        <x:f>F7/$F$16</x:f>
        <x:v>0.039856899830660986</x:v>
      </x:c>
    </x:row>
    <x:row r="8" ht="96" hidden="0" customHeight="1">
      <x:c r="A8" s="18" t="str">
        <x:v>primary_land_valuation_only</x:v>
      </x:c>
      <x:c r="B8" s="18" t="str">
        <x:v>medium</x:v>
      </x:c>
      <x:c r="C8" s="18" t="str">
        <x:v>Step 3 found exactly one eligible Land Valuer prop_id.</x:v>
      </x:c>
      <x:c r="D8" s="18" t="str">
        <x:v>Self</x:v>
      </x:c>
      <x:c r="E8" s="18" t="str">
        <x:v>Use as primary.</x:v>
      </x:c>
      <x:c r="F8" s="21" t="n">
        <x:v>827307</x:v>
      </x:c>
      <x:c r="G8" s="36" t="n">
        <x:f>F8/$F$16</x:f>
        <x:v>0.21496908010486182</x:v>
      </x:c>
    </x:row>
    <x:row r="9" ht="120" hidden="0" customHeight="1">
      <x:c r="A9" s="18" t="str">
        <x:v>primary_latest_recent_sale</x:v>
      </x:c>
      <x:c r="B9" s="18" t="str">
        <x:v>medium</x:v>
      </x:c>
      <x:c r="C9" s="18" t="str">
        <x:v>Step 4 selected the unique latest sale date among candidates imported from 1 June 2026.</x:v>
      </x:c>
      <x:c r="D9" s="18" t="str">
        <x:v>Self</x:v>
      </x:c>
      <x:c r="E9" s="18" t="str">
        <x:v>Use as primary; ties are excluded.</x:v>
      </x:c>
      <x:c r="F9" s="21" t="n">
        <x:v>1931</x:v>
      </x:c>
      <x:c r="G9" s="36" t="n">
        <x:f>F9/$F$16</x:f>
        <x:v>0.0005017548427397426</x:v>
      </x:c>
    </x:row>
    <x:row r="10" ht="132" hidden="0" customHeight="1">
      <x:c r="A10" s="18" t="str">
        <x:v>primary_sales_and_land_valuation</x:v>
      </x:c>
      <x:c r="B10" s="18" t="str">
        <x:v>high</x:v>
      </x:c>
      <x:c r="C10" s="18" t="str">
        <x:v>Step 2 found exactly one eligible prop_id in both historical sales and Land Valuer.</x:v>
      </x:c>
      <x:c r="D10" s="18" t="str">
        <x:v>Self</x:v>
      </x:c>
      <x:c r="E10" s="18" t="str">
        <x:v>Use as primary.</x:v>
      </x:c>
      <x:c r="F10" s="21" t="n">
        <x:v>1806936</x:v>
      </x:c>
      <x:c r="G10" s="36" t="n">
        <x:f>F10/$F$16</x:f>
        <x:v>0.4695178086591297</x:v>
      </x:c>
    </x:row>
    <x:row r="11" ht="96" hidden="0" customHeight="1">
      <x:c r="A11" s="18" t="str">
        <x:v>review_land_valuation_address_conflict</x:v>
      </x:c>
      <x:c r="B11" s="18" t="str">
        <x:v>review</x:v>
      </x:c>
      <x:c r="C11" s="18" t="str">
        <x:v>The prop_id has multiple non-unit Land Valuer addresses.</x:v>
      </x:c>
      <x:c r="D11" s="18" t="str">
        <x:v>Null</x:v>
      </x:c>
      <x:c r="E11" s="18" t="str">
        <x:v>Review source records.</x:v>
      </x:c>
      <x:c r="F11" s="21" t="n">
        <x:v>18</x:v>
      </x:c>
      <x:c r="G11" s="36" t="n">
        <x:f>F11/$F$16</x:f>
        <x:v>0.000004677155447599879</x:v>
      </x:c>
    </x:row>
    <x:row r="12" ht="72" hidden="0" customHeight="1">
      <x:c r="A12" s="18" t="str">
        <x:v>review_latest_sale_date_tie</x:v>
      </x:c>
      <x:c r="B12" s="18" t="str">
        <x:v>review</x:v>
      </x:c>
      <x:c r="C12" s="18" t="str">
        <x:v>Step 4 has more than one prop_id on the latest sale date.</x:v>
      </x:c>
      <x:c r="D12" s="18" t="str">
        <x:v>Null</x:v>
      </x:c>
      <x:c r="E12" s="18" t="str">
        <x:v>Do not choose arbitrarily.</x:v>
      </x:c>
      <x:c r="F12" s="21" t="n">
        <x:v>1248</x:v>
      </x:c>
      <x:c r="G12" s="36" t="n">
        <x:f>F12/$F$16</x:f>
        <x:v>0.00032428277770025826</x:v>
      </x:c>
    </x:row>
    <x:row r="13" ht="72" hidden="0" customHeight="1">
      <x:c r="A13" s="18" t="str">
        <x:v>review_multiple_land_valuation_prop_ids</x:v>
      </x:c>
      <x:c r="B13" s="18" t="str">
        <x:v>review</x:v>
      </x:c>
      <x:c r="C13" s="18" t="str">
        <x:v>Step 3 still has multiple Land Valuer prop_ids.</x:v>
      </x:c>
      <x:c r="D13" s="18" t="str">
        <x:v>Null</x:v>
      </x:c>
      <x:c r="E13" s="18" t="str">
        <x:v>Review parcel structure.</x:v>
      </x:c>
      <x:c r="F13" s="21" t="n">
        <x:v>33773</x:v>
      </x:c>
      <x:c r="G13" s="36" t="n">
        <x:f>F13/$F$16</x:f>
        <x:v>0.008775642829543929</x:v>
      </x:c>
    </x:row>
    <x:row r="14" ht="84" hidden="0" customHeight="1">
      <x:c r="A14" s="18" t="str">
        <x:v>review_multiple_sales_and_land_valuation_prop_ids</x:v>
      </x:c>
      <x:c r="B14" s="18" t="str">
        <x:v>review</x:v>
      </x:c>
      <x:c r="C14" s="18" t="str">
        <x:v>Step 2 has multiple prop_ids present in both sources.</x:v>
      </x:c>
      <x:c r="D14" s="18" t="str">
        <x:v>Null</x:v>
      </x:c>
      <x:c r="E14" s="18" t="str">
        <x:v>Continue to later rules; unresolved rows remain review.</x:v>
      </x:c>
      <x:c r="F14" s="21" t="n">
        <x:v>41000</x:v>
      </x:c>
      <x:c r="G14" s="36" t="n">
        <x:f>F14/$F$16</x:f>
        <x:v>0.01065352074175528</x:v>
      </x:c>
    </x:row>
    <x:row r="15" ht="84" hidden="0" customHeight="1">
      <x:c r="A15" s="18" t="str">
        <x:v>review_no_primary_evidence</x:v>
      </x:c>
      <x:c r="B15" s="18" t="str">
        <x:v>review</x:v>
      </x:c>
      <x:c r="C15" s="18" t="str">
        <x:v>No rule produced a unique primary.</x:v>
      </x:c>
      <x:c r="D15" s="18" t="str">
        <x:v>Null</x:v>
      </x:c>
      <x:c r="E15" s="18" t="str">
        <x:v>Keep the original prop_id and review if mapping is required.</x:v>
      </x:c>
      <x:c r="F15" s="21" t="n">
        <x:v>135382</x:v>
      </x:c>
      <x:c r="G15" s="36" t="n">
        <x:f>F15/$F$16</x:f>
        <x:v>0.03517792548927593</x:v>
      </x:c>
    </x:row>
    <x:row r="16" ht="15" hidden="0" customHeight="1">
      <x:c r="A16" s="42" t="str">
        <x:v>TOTAL</x:v>
      </x:c>
      <x:c r="B16" s="42" t="str"/>
      <x:c r="C16" s="42" t="str"/>
      <x:c r="D16" s="42" t="str"/>
      <x:c r="E16" s="42" t="str"/>
      <x:c r="F16" s="42" t="n">
        <x:f>SUM(F5:F15)</x:f>
        <x:v>3848493</x:v>
      </x:c>
      <x:c r="G16" s="43" t="n">
        <x:f>SUM(G5:G15)</x:f>
        <x:v>1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d8765bd9a02d4ec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9" hidden="0" customWidth="1"/>
    <x:col min="3" max="3" width="100" hidden="0" customWidth="1"/>
    <x:col min="4" max="4" width="60" hidden="0" customWidth="1"/>
  </x:cols>
  <x:sheetData>
    <x:row r="1" ht="32" customHeight="1">
      <x:c r="A1" s="30" t="str">
        <x:v>Primary_prop_id Decision Rules</x:v>
      </x:c>
    </x:row>
    <x:row r="2" ht="34" customHeight="1">
      <x:c r="A2" s="31" t="str">
        <x:v>The rules are evaluated in order. A later rule runs only when the earlier rule did not produce one unique primary.</x:v>
      </x:c>
    </x:row>
    <x:row r="4" ht="28" customHeight="1">
      <x:c r="A4" s="34" t="str">
        <x:v>Order</x:v>
      </x:c>
      <x:c r="B4" s="34" t="str">
        <x:v>Rule</x:v>
      </x:c>
      <x:c r="C4" s="34" t="str">
        <x:v>Implementation</x:v>
      </x:c>
      <x:c r="D4" s="34" t="str">
        <x:v>Current result</x:v>
      </x:c>
    </x:row>
    <x:row r="5" ht="216" hidden="0" customHeight="1">
      <x:c r="A5" s="17" t="n">
        <x:v>1</x:v>
      </x:c>
      <x:c r="B5" s="17" t="str">
        <x:v>Ignore unit addresses</x:v>
      </x:c>
      <x:c r="C5" s="17" t="str">
        <x:v>Exclude each source address that begins with a slash-style unit prefix. A prop_id may still participate if another source provides a non-unit parcel address.</x:v>
      </x:c>
      <x:c r="D5" s="17" t="str">
        <x:v>845,468 rows have ignored_unit_address.</x:v>
      </x:c>
    </x:row>
    <x:row r="6" ht="240" hidden="0" customHeight="1">
      <x:c r="A6" s="18" t="n">
        <x:v>2</x:v>
      </x:c>
      <x:c r="B6" s="18" t="str">
        <x:v>Historical sales + Land Valuer</x:v>
      </x:c>
      <x:c r="C6" s="18" t="str">
        <x:v>At each duplicated address, count eligible prop_ids present in both nsw_property_sales_all_history and the three Land Valuer tables. Select only when the count is exactly one.</x:v>
      </x:c>
      <x:c r="D6" s="18" t="str">
        <x:v>6,223 addresses still have multiple step 2 candidates.</x:v>
      </x:c>
    </x:row>
    <x:row r="7" ht="192" hidden="0" customHeight="1">
      <x:c r="A7" s="18" t="n">
        <x:v>3</x:v>
      </x:c>
      <x:c r="B7" s="18" t="str">
        <x:v>Land Valuer fallback</x:v>
      </x:c>
      <x:c r="C7" s="18" t="str">
        <x:v>If step 2 did not select a primary, select the Land Valuer prop_id only when exactly one eligible Land Valuer prop_id exists.</x:v>
      </x:c>
      <x:c r="D7" s="18" t="str">
        <x:v>14,636 addresses still have multiple Land Valuer candidates after step 2.</x:v>
      </x:c>
    </x:row>
    <x:row r="8" ht="228" hidden="0" customHeight="1">
      <x:c r="A8" s="18" t="n">
        <x:v>4</x:v>
      </x:c>
      <x:c r="B8" s="18" t="str">
        <x:v>Latest recent-import sale</x:v>
      </x:c>
      <x:c r="C8" s="18" t="str">
        <x:v>For a duplicated address still unresolved, consider prop_ids with imported_at &gt;= 2026-06-01. Select the prop_id with the unique latest sale_date.</x:v>
      </x:c>
      <x:c r="D8" s="18" t="str">
        <x:v>1,931 addresses resolved; 146 addresses have a latest-date tie.</x:v>
      </x:c>
    </x:row>
    <x:row r="9" ht="156" hidden="0" customHeight="1">
      <x:c r="A9" s="19" t="n">
        <x:v>5</x:v>
      </x:c>
      <x:c r="B9" s="19" t="str">
        <x:v>Keep ambiguity unresolved</x:v>
      </x:c>
      <x:c r="C9" s="19" t="str">
        <x:v>If no rule yields exactly one primary, primary_prop_id remains null and the row appears in the review view.</x:v>
      </x:c>
      <x:c r="D9" s="19" t="str">
        <x:v>25,053 duplicated addresses remain unresolved.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f196e02f656849d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2" hidden="0" customWidth="1"/>
    <x:col min="3" max="3" width="58" hidden="0" customWidth="1"/>
    <x:col min="4" max="4" width="22" hidden="0" customWidth="1"/>
    <x:col min="5" max="5" width="75" hidden="0" customWidth="1"/>
  </x:cols>
  <x:sheetData>
    <x:row r="1" ht="32" customHeight="1">
      <x:c r="A1" s="30" t="str">
        <x:v>Duplicate Checks by Decision Step</x:v>
      </x:c>
    </x:row>
    <x:row r="2" ht="34" customHeight="1">
      <x:c r="A2" s="31" t="str">
        <x:v>Examples demonstrate why uniqueness checks are required. Counts refer to distinct canonical addresses, not rows.</x:v>
      </x:c>
    </x:row>
    <x:row r="4" ht="28" customHeight="1">
      <x:c r="A4" s="34" t="str">
        <x:v>Rule stage</x:v>
      </x:c>
      <x:c r="B4" s="34" t="str">
        <x:v>Addresses affected</x:v>
      </x:c>
      <x:c r="C4" s="34" t="str">
        <x:v>Example address</x:v>
      </x:c>
      <x:c r="D4" s="34" t="str">
        <x:v>Candidate prop_ids</x:v>
      </x:c>
      <x:c r="E4" s="34" t="str">
        <x:v>Interpretation</x:v>
      </x:c>
    </x:row>
    <x:row r="5" ht="96" hidden="0" customHeight="1">
      <x:c r="A5" s="17" t="str">
        <x:v>Step 2</x:v>
      </x:c>
      <x:c r="B5" s="17" t="n">
        <x:v>6223</x:v>
      </x:c>
      <x:c r="C5" s="17" t="str">
        <x:v>KINKUNA CRESCENT WORROWING HEIGHTS</x:v>
      </x:c>
      <x:c r="D5" s="17" t="n">
        <x:v>67</x:v>
      </x:c>
      <x:c r="E5" s="17" t="str">
        <x:v>Multiple prop_ids occur in both historical sales and Land Valuer.</x:v>
      </x:c>
    </x:row>
    <x:row r="6" ht="60" hidden="0" customHeight="1">
      <x:c r="A6" s="18" t="str">
        <x:v>Step 2</x:v>
      </x:c>
      <x:c r="B6" s="18" t="n">
        <x:v>6223</x:v>
      </x:c>
      <x:c r="C6" s="18" t="str">
        <x:v>ELOUERA DRIVE WORROWING HEIGHTS</x:v>
      </x:c>
      <x:c r="D6" s="18" t="n">
        <x:v>49</x:v>
      </x:c>
      <x:c r="E6" s="18" t="str">
        <x:v>No unique step 2 primary.</x:v>
      </x:c>
    </x:row>
    <x:row r="7" ht="84" hidden="0" customHeight="1">
      <x:c r="A7" s="18" t="str">
        <x:v>Step 3</x:v>
      </x:c>
      <x:c r="B7" s="18" t="n">
        <x:v>14636</x:v>
      </x:c>
      <x:c r="C7" s="18" t="str">
        <x:v>THE RIDGEWAY NORTH ARM COVE</x:v>
      </x:c>
      <x:c r="D7" s="18" t="n">
        <x:v>172</x:v>
      </x:c>
      <x:c r="E7" s="18" t="str">
        <x:v>Multiple Land Valuer prop_ids remain after step 2.</x:v>
      </x:c>
    </x:row>
    <x:row r="8" ht="48" hidden="0" customHeight="1">
      <x:c r="A8" s="18" t="str">
        <x:v>Step 3</x:v>
      </x:c>
      <x:c r="B8" s="18" t="n">
        <x:v>14636</x:v>
      </x:c>
      <x:c r="C8" s="18" t="str">
        <x:v>TENTERFIELD ROAD NORTH ARM COVE</x:v>
      </x:c>
      <x:c r="D8" s="18" t="n">
        <x:v>128</x:v>
      </x:c>
      <x:c r="E8" s="18" t="str">
        <x:v>No unique step 3 primary.</x:v>
      </x:c>
    </x:row>
    <x:row r="9" ht="60" hidden="0" customHeight="1">
      <x:c r="A9" s="18" t="str">
        <x:v>Step 4 tie</x:v>
      </x:c>
      <x:c r="B9" s="18" t="n">
        <x:v>146</x:v>
      </x:c>
      <x:c r="C9" s="18" t="str">
        <x:v>100 BRIDGE ROAD WESTMEAD</x:v>
      </x:c>
      <x:c r="D9" s="18" t="n">
        <x:v>14</x:v>
      </x:c>
      <x:c r="E9" s="18" t="str">
        <x:v>Latest sale date 2022-12-13 is shared.</x:v>
      </x:c>
    </x:row>
    <x:row r="10" ht="60" hidden="0" customHeight="1">
      <x:c r="A10" s="19" t="str">
        <x:v>Step 4 tie</x:v>
      </x:c>
      <x:c r="B10" s="19" t="n">
        <x:v>146</x:v>
      </x:c>
      <x:c r="C10" s="19" t="str">
        <x:v>117 TUMBLONG ROAD TUMBLONG</x:v>
      </x:c>
      <x:c r="D10" s="19" t="n">
        <x:v>2</x:v>
      </x:c>
      <x:c r="E10" s="19" t="str">
        <x:v>Latest sale date 2026-06-02 is shared.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ce0ca597e8cf4f6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50" hidden="0" customWidth="1"/>
    <x:col min="3" max="3" width="18" hidden="0" customWidth="1"/>
    <x:col min="4" max="4" width="48" hidden="0" customWidth="1"/>
    <x:col min="5" max="5" width="50" hidden="0" customWidth="1"/>
    <x:col min="6" max="6" width="16" hidden="0" customWidth="1"/>
    <x:col min="7" max="7" width="18" hidden="0" customWidth="1"/>
    <x:col min="8" max="8" width="21" hidden="0" customWidth="1"/>
  </x:cols>
  <x:sheetData>
    <x:row r="1" ht="32" customHeight="1">
      <x:c r="A1" s="30" t="str">
        <x:v>Worked Mapping Examples</x:v>
      </x:c>
    </x:row>
    <x:row r="2" ht="34" customHeight="1">
      <x:c r="A2" s="31" t="str">
        <x:v>IRONMUNGIE ROAD MAFFRA shows the requested step 4 behavior: the 2026 sale wins over the 2003 sale. Import eligibility begins on 1 June 2026 inclusive.</x:v>
      </x:c>
    </x:row>
    <x:row r="4" ht="28" customHeight="1">
      <x:c r="A4" s="34" t="str">
        <x:v>prop_id</x:v>
      </x:c>
      <x:c r="B4" s="34" t="str">
        <x:v>canonical_address</x:v>
      </x:c>
      <x:c r="C4" s="34" t="str">
        <x:v>primary_prop_id</x:v>
      </x:c>
      <x:c r="D4" s="34" t="str">
        <x:v>selection rule</x:v>
      </x:c>
      <x:c r="E4" s="34" t="str">
        <x:v>mapping_status</x:v>
      </x:c>
      <x:c r="F4" s="34" t="str">
        <x:v>confidence</x:v>
      </x:c>
      <x:c r="G4" s="34" t="str">
        <x:v>latest sale</x:v>
      </x:c>
      <x:c r="H4" s="34" t="str">
        <x:v>recent import date</x:v>
      </x:c>
    </x:row>
    <x:row r="5" ht="48" hidden="0" customHeight="1">
      <x:c r="A5" s="17" t="n">
        <x:v>684589</x:v>
      </x:c>
      <x:c r="B5" s="17" t="str">
        <x:v>1 AVON ROAD PYMBLE</x:v>
      </x:c>
      <x:c r="C5" s="17" t="n">
        <x:v>4158520</x:v>
      </x:c>
      <x:c r="D5" s="17" t="str">
        <x:v>historical_sales_and_land_valuation</x:v>
      </x:c>
      <x:c r="E5" s="17" t="str">
        <x:v>obsolete_candidate</x:v>
      </x:c>
      <x:c r="F5" s="17" t="str">
        <x:v>high</x:v>
      </x:c>
      <x:c r="G5" s="17" t="str">
        <x:v>2014-12-02</x:v>
      </x:c>
      <x:c r="H5" s="17" t="str"/>
    </x:row>
    <x:row r="6" ht="48" hidden="0" customHeight="1">
      <x:c r="A6" s="18" t="n">
        <x:v>4158520</x:v>
      </x:c>
      <x:c r="B6" s="18" t="str">
        <x:v>1 AVON ROAD PYMBLE</x:v>
      </x:c>
      <x:c r="C6" s="18" t="n">
        <x:v>4158520</x:v>
      </x:c>
      <x:c r="D6" s="18" t="str">
        <x:v>historical_sales_and_land_valuation</x:v>
      </x:c>
      <x:c r="E6" s="18" t="str">
        <x:v>primary_sales_and_land_valuation</x:v>
      </x:c>
      <x:c r="F6" s="18" t="str">
        <x:v>high</x:v>
      </x:c>
      <x:c r="G6" s="18" t="str">
        <x:v>2026-04-02</x:v>
      </x:c>
      <x:c r="H6" s="18" t="str">
        <x:v>2026-07-02</x:v>
      </x:c>
    </x:row>
    <x:row r="7" ht="48" hidden="0" customHeight="1">
      <x:c r="A7" s="18" t="n">
        <x:v>4158689</x:v>
      </x:c>
      <x:c r="B7" s="18" t="str">
        <x:v>1 AVON ROAD PYMBLE</x:v>
      </x:c>
      <x:c r="C7" s="18" t="n">
        <x:v>4158520</x:v>
      </x:c>
      <x:c r="D7" s="18" t="str">
        <x:v>historical_sales_and_land_valuation</x:v>
      </x:c>
      <x:c r="E7" s="18" t="str">
        <x:v>obsolete_candidate</x:v>
      </x:c>
      <x:c r="F7" s="18" t="str">
        <x:v>high</x:v>
      </x:c>
      <x:c r="G7" s="18" t="str">
        <x:v>2018-10-16</x:v>
      </x:c>
      <x:c r="H7" s="18" t="str">
        <x:v>2026-06-23</x:v>
      </x:c>
    </x:row>
    <x:row r="8" ht="60" hidden="0" customHeight="1">
      <x:c r="A8" s="18" t="n">
        <x:v>4139561</x:v>
      </x:c>
      <x:c r="B8" s="18" t="str">
        <x:v>6A ATKINSON STREET LIVERPOOL</x:v>
      </x:c>
      <x:c r="C8" s="18" t="n">
        <x:v>4139561</x:v>
      </x:c>
      <x:c r="D8" s="18" t="str">
        <x:v>historical_sales_and_land_valuation</x:v>
      </x:c>
      <x:c r="E8" s="18" t="str">
        <x:v>primary_sales_and_land_valuation</x:v>
      </x:c>
      <x:c r="F8" s="18" t="str">
        <x:v>high</x:v>
      </x:c>
      <x:c r="G8" s="18" t="str">
        <x:v>2026-05-25</x:v>
      </x:c>
      <x:c r="H8" s="18" t="str">
        <x:v>2026-07-02</x:v>
      </x:c>
    </x:row>
    <x:row r="9" ht="60" hidden="0" customHeight="1">
      <x:c r="A9" s="18" t="n">
        <x:v>4139568</x:v>
      </x:c>
      <x:c r="B9" s="18" t="str">
        <x:v>6A ATKINSON STREET LIVERPOOL</x:v>
      </x:c>
      <x:c r="C9" s="18" t="n">
        <x:v>4139561</x:v>
      </x:c>
      <x:c r="D9" s="18" t="str">
        <x:v>historical_sales_and_land_valuation</x:v>
      </x:c>
      <x:c r="E9" s="18" t="str">
        <x:v>obsolete_candidate</x:v>
      </x:c>
      <x:c r="F9" s="18" t="str">
        <x:v>high</x:v>
      </x:c>
      <x:c r="G9" s="18" t="str">
        <x:v>2023-05-24</x:v>
      </x:c>
      <x:c r="H9" s="18" t="str">
        <x:v>2026-06-23</x:v>
      </x:c>
    </x:row>
    <x:row r="10" ht="60" hidden="0" customHeight="1">
      <x:c r="A10" s="18" t="n">
        <x:v>4139576</x:v>
      </x:c>
      <x:c r="B10" s="18" t="str">
        <x:v>6A ATKINSON STREET LIVERPOOL</x:v>
      </x:c>
      <x:c r="C10" s="18" t="n">
        <x:v>4139561</x:v>
      </x:c>
      <x:c r="D10" s="18" t="str">
        <x:v>historical_sales_and_land_valuation</x:v>
      </x:c>
      <x:c r="E10" s="18" t="str">
        <x:v>obsolete_candidate</x:v>
      </x:c>
      <x:c r="F10" s="18" t="str">
        <x:v>high</x:v>
      </x:c>
      <x:c r="G10" s="18" t="str">
        <x:v>2018-11-16</x:v>
      </x:c>
      <x:c r="H10" s="18" t="str">
        <x:v>2026-06-23</x:v>
      </x:c>
    </x:row>
    <x:row r="11" ht="48" hidden="0" customHeight="1">
      <x:c r="A11" s="18" t="n">
        <x:v>4482896</x:v>
      </x:c>
      <x:c r="B11" s="18" t="str">
        <x:v>IRONMUNGIE ROAD MAFFRA</x:v>
      </x:c>
      <x:c r="C11" s="18" t="n">
        <x:v>4482896</x:v>
      </x:c>
      <x:c r="D11" s="18" t="str">
        <x:v>recent_historical_sales_latest_sale</x:v>
      </x:c>
      <x:c r="E11" s="18" t="str">
        <x:v>primary_latest_recent_sale</x:v>
      </x:c>
      <x:c r="F11" s="18" t="str">
        <x:v>medium</x:v>
      </x:c>
      <x:c r="G11" s="18" t="str">
        <x:v>2026-06-29</x:v>
      </x:c>
      <x:c r="H11" s="18" t="str">
        <x:v>2026-07-07</x:v>
      </x:c>
    </x:row>
    <x:row r="12" ht="48" hidden="0" customHeight="1">
      <x:c r="A12" s="19" t="n">
        <x:v>441355</x:v>
      </x:c>
      <x:c r="B12" s="19" t="str">
        <x:v>IRONMUNGIE ROAD MAFFRA</x:v>
      </x:c>
      <x:c r="C12" s="19" t="n">
        <x:v>4482896</x:v>
      </x:c>
      <x:c r="D12" s="19" t="str">
        <x:v>recent_historical_sales_latest_sale</x:v>
      </x:c>
      <x:c r="E12" s="19" t="str">
        <x:v>obsolete_candidate</x:v>
      </x:c>
      <x:c r="F12" s="19" t="str">
        <x:v>medium</x:v>
      </x:c>
      <x:c r="G12" s="19" t="str">
        <x:v>2003-07-02</x:v>
      </x:c>
      <x:c r="H12" s="19" t="str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19bfd938b20b470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52" hidden="0" customWidth="1"/>
    <x:col min="3" max="3" width="20" hidden="0" customWidth="1"/>
    <x:col min="4" max="4" width="78" hidden="0" customWidth="1"/>
  </x:cols>
  <x:sheetData>
    <x:row r="1" ht="32" customHeight="1">
      <x:c r="A1" s="30" t="str">
        <x:v>Categorical Value Domains</x:v>
      </x:c>
    </x:row>
    <x:row r="2" ht="34" customHeight="1">
      <x:c r="A2" s="31" t="str">
        <x:v>Observed values from the rebuilt database tables.</x:v>
      </x:c>
    </x:row>
    <x:row r="4" ht="28" customHeight="1">
      <x:c r="A4" s="34" t="str">
        <x:v>Column</x:v>
      </x:c>
      <x:c r="B4" s="34" t="str">
        <x:v>Value</x:v>
      </x:c>
      <x:c r="C4" s="34" t="str">
        <x:v>Current rows</x:v>
      </x:c>
      <x:c r="D4" s="34" t="str">
        <x:v>Meaning</x:v>
      </x:c>
    </x:row>
    <x:row r="5" ht="48" hidden="0" customHeight="1">
      <x:c r="A5" s="17" t="str">
        <x:v>canonical_address_source</x:v>
      </x:c>
      <x:c r="B5" s="17" t="str">
        <x:v>data_universe</x:v>
      </x:c>
      <x:c r="C5" s="20" t="n">
        <x:v>303013</x:v>
      </x:c>
      <x:c r="D5" s="17" t="str">
        <x:v>Observed canonical address source.</x:v>
      </x:c>
    </x:row>
    <x:row r="6" ht="48" hidden="0" customHeight="1">
      <x:c r="A6" s="18" t="str">
        <x:v>canonical_address_source</x:v>
      </x:c>
      <x:c r="B6" s="18" t="str">
        <x:v>land_valuation</x:v>
      </x:c>
      <x:c r="C6" s="21" t="n">
        <x:v>2697034</x:v>
      </x:c>
      <x:c r="D6" s="18" t="str">
        <x:v>Observed canonical address source.</x:v>
      </x:c>
    </x:row>
    <x:row r="7" ht="48" hidden="0" customHeight="1">
      <x:c r="A7" s="18" t="str">
        <x:v>canonical_address_source</x:v>
      </x:c>
      <x:c r="B7" s="18" t="str">
        <x:v>none</x:v>
      </x:c>
      <x:c r="C7" s="21" t="n">
        <x:v>847509</x:v>
      </x:c>
      <x:c r="D7" s="18" t="str">
        <x:v>Observed canonical address source.</x:v>
      </x:c>
    </x:row>
    <x:row r="8" ht="48" hidden="0" customHeight="1">
      <x:c r="A8" s="18" t="str">
        <x:v>canonical_address_source</x:v>
      </x:c>
      <x:c r="B8" s="18" t="str">
        <x:v>property_source</x:v>
      </x:c>
      <x:c r="C8" s="21" t="n">
        <x:v>937</x:v>
      </x:c>
      <x:c r="D8" s="18" t="str">
        <x:v>Observed canonical address source.</x:v>
      </x:c>
    </x:row>
    <x:row r="9" ht="48" hidden="0" customHeight="1">
      <x:c r="A9" s="18" t="str">
        <x:v>activity_evidence</x:v>
      </x:c>
      <x:c r="B9" s="18" t="str">
        <x:v>land_valuation</x:v>
      </x:c>
      <x:c r="C9" s="21" t="n">
        <x:v>2713174</x:v>
      </x:c>
      <x:c r="D9" s="18" t="str">
        <x:v>Strongest observed evidence category.</x:v>
      </x:c>
    </x:row>
    <x:row r="10" ht="48" hidden="0" customHeight="1">
      <x:c r="A10" s="18" t="str">
        <x:v>activity_evidence</x:v>
      </x:c>
      <x:c r="B10" s="18" t="str">
        <x:v>property_source_only</x:v>
      </x:c>
      <x:c r="C10" s="21" t="n">
        <x:v>71754</x:v>
      </x:c>
      <x:c r="D10" s="18" t="str">
        <x:v>Strongest observed evidence category.</x:v>
      </x:c>
    </x:row>
    <x:row r="11" ht="48" hidden="0" customHeight="1">
      <x:c r="A11" s="18" t="str">
        <x:v>activity_evidence</x:v>
      </x:c>
      <x:c r="B11" s="18" t="str">
        <x:v>sale_history_only</x:v>
      </x:c>
      <x:c r="C11" s="21" t="n">
        <x:v>1063565</x:v>
      </x:c>
      <x:c r="D11" s="18" t="str">
        <x:v>Strongest observed evidence category.</x:v>
      </x:c>
    </x:row>
    <x:row r="12" ht="48" hidden="0" customHeight="1">
      <x:c r="A12" s="18" t="str">
        <x:v>primary_selection_rule</x:v>
      </x:c>
      <x:c r="B12" s="18" t="str">
        <x:v>historical_sales_and_land_valuation</x:v>
      </x:c>
      <x:c r="C12" s="21" t="n">
        <x:v>1901016</x:v>
      </x:c>
      <x:c r="D12" s="18" t="str">
        <x:v>1,806,936 distinct addresses.</x:v>
      </x:c>
    </x:row>
    <x:row r="13" ht="36" hidden="0" customHeight="1">
      <x:c r="A13" s="18" t="str">
        <x:v>primary_selection_rule</x:v>
      </x:c>
      <x:c r="B13" s="18" t="str">
        <x:v>land_valuation_only</x:v>
      </x:c>
      <x:c r="C13" s="21" t="n">
        <x:v>874678</x:v>
      </x:c>
      <x:c r="D13" s="18" t="str">
        <x:v>827,307 distinct addresses.</x:v>
      </x:c>
    </x:row>
    <x:row r="14" ht="48" hidden="0" customHeight="1">
      <x:c r="A14" s="18" t="str">
        <x:v>primary_selection_rule</x:v>
      </x:c>
      <x:c r="B14" s="18" t="str">
        <x:v>recent_historical_sales_latest_sale</x:v>
      </x:c>
      <x:c r="C14" s="21" t="n">
        <x:v>13870</x:v>
      </x:c>
      <x:c r="D14" s="18" t="str">
        <x:v>1,931 distinct addresses.</x:v>
      </x:c>
    </x:row>
    <x:row r="15" ht="36" hidden="0" customHeight="1">
      <x:c r="A15" s="18" t="str">
        <x:v>primary_selection_rule</x:v>
      </x:c>
      <x:c r="B15" s="18" t="str">
        <x:v>unresolved</x:v>
      </x:c>
      <x:c r="C15" s="21" t="n">
        <x:v>1058929</x:v>
      </x:c>
      <x:c r="D15" s="18" t="str">
        <x:v>123,417 distinct addresses.</x:v>
      </x:c>
    </x:row>
    <x:row r="16" ht="84" hidden="0" customHeight="1">
      <x:c r="A16" s="18" t="str">
        <x:v>mapping_confidence</x:v>
      </x:c>
      <x:c r="B16" s="18" t="str">
        <x:v>high</x:v>
      </x:c>
      <x:c r="C16" s="21" t="str"/>
      <x:c r="D16" s="18" t="str">
        <x:v>Unique candidate in both historical sales and Land Valuer.</x:v>
      </x:c>
    </x:row>
    <x:row r="17" ht="96" hidden="0" customHeight="1">
      <x:c r="A17" s="18" t="str">
        <x:v>mapping_confidence</x:v>
      </x:c>
      <x:c r="B17" s="18" t="str">
        <x:v>medium</x:v>
      </x:c>
      <x:c r="C17" s="21" t="str"/>
      <x:c r="D17" s="18" t="str">
        <x:v>Unique Land Valuer fallback or unique latest recent sale.</x:v>
      </x:c>
    </x:row>
    <x:row r="18" ht="36" hidden="0" customHeight="1">
      <x:c r="A18" s="19" t="str">
        <x:v>mapping_confidence</x:v>
      </x:c>
      <x:c r="B18" s="19" t="str">
        <x:v>review</x:v>
      </x:c>
      <x:c r="C18" s="22" t="str"/>
      <x:c r="D18" s="19" t="str">
        <x:v>No unique primary.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886acf3b7e3b482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52" hidden="0" customWidth="1"/>
    <x:col min="3" max="3" width="20" hidden="0" customWidth="1"/>
    <x:col min="4" max="4" width="34" hidden="0" customWidth="1"/>
    <x:col min="5" max="5" width="65" hidden="0" customWidth="1"/>
  </x:cols>
  <x:sheetData>
    <x:row r="1" ht="32" customHeight="1">
      <x:c r="A1" s="30" t="str">
        <x:v>Keys and Indexes</x:v>
      </x:c>
    </x:row>
    <x:row r="2" ht="34" customHeight="1">
      <x:c r="A2" s="31" t="str">
        <x:v>Physical indexes created by the mapping build.</x:v>
      </x:c>
    </x:row>
    <x:row r="4" ht="28" customHeight="1">
      <x:c r="A4" s="34" t="str">
        <x:v>Table</x:v>
      </x:c>
      <x:c r="B4" s="34" t="str">
        <x:v>Index</x:v>
      </x:c>
      <x:c r="C4" s="34" t="str">
        <x:v>Type</x:v>
      </x:c>
      <x:c r="D4" s="34" t="str">
        <x:v>Column(s)</x:v>
      </x:c>
      <x:c r="E4" s="34" t="str">
        <x:v>Purpose</x:v>
      </x:c>
    </x:row>
    <x:row r="5" ht="48" hidden="0" customHeight="1">
      <x:c r="A5" s="17" t="str">
        <x:v>data_universe_prop_id_candidates</x:v>
      </x:c>
      <x:c r="B5" s="17" t="str">
        <x:v>data_universe_prop_id_candidates_pkey</x:v>
      </x:c>
      <x:c r="C5" s="17" t="str">
        <x:v>Unique btree</x:v>
      </x:c>
      <x:c r="D5" s="17" t="str">
        <x:v>prop_id</x:v>
      </x:c>
      <x:c r="E5" s="17" t="str">
        <x:v>One row per prop_id.</x:v>
      </x:c>
    </x:row>
    <x:row r="6" ht="48" hidden="0" customHeight="1">
      <x:c r="A6" s="18" t="str">
        <x:v>data_universe_prop_id_candidates</x:v>
      </x:c>
      <x:c r="B6" s="18" t="str">
        <x:v>idx_data_universe_candidates_address</x:v>
      </x:c>
      <x:c r="C6" s="18" t="str">
        <x:v>Btree</x:v>
      </x:c>
      <x:c r="D6" s="18" t="str">
        <x:v>canonical_address</x:v>
      </x:c>
      <x:c r="E6" s="18" t="str">
        <x:v>Address grouping and lookup.</x:v>
      </x:c>
    </x:row>
    <x:row r="7" ht="48" hidden="0" customHeight="1">
      <x:c r="A7" s="18" t="str">
        <x:v>data_universe_prop_id_candidates</x:v>
      </x:c>
      <x:c r="B7" s="18" t="str">
        <x:v>idx_data_universe_candidates_latest_sale</x:v>
      </x:c>
      <x:c r="C7" s="18" t="str">
        <x:v>Btree descending</x:v>
      </x:c>
      <x:c r="D7" s="18" t="str">
        <x:v>latest_sale_date</x:v>
      </x:c>
      <x:c r="E7" s="18" t="str">
        <x:v>Sale-date analysis.</x:v>
      </x:c>
    </x:row>
    <x:row r="8" ht="48" hidden="0" customHeight="1">
      <x:c r="A8" s="18" t="str">
        <x:v>data_universe_master_map</x:v>
      </x:c>
      <x:c r="B8" s="18" t="str">
        <x:v>data_universe_master_map_pkey</x:v>
      </x:c>
      <x:c r="C8" s="18" t="str">
        <x:v>Unique btree</x:v>
      </x:c>
      <x:c r="D8" s="18" t="str">
        <x:v>prop_id</x:v>
      </x:c>
      <x:c r="E8" s="18" t="str">
        <x:v>One decision per prop_id.</x:v>
      </x:c>
    </x:row>
    <x:row r="9" ht="48" hidden="0" customHeight="1">
      <x:c r="A9" s="18" t="str">
        <x:v>data_universe_master_map</x:v>
      </x:c>
      <x:c r="B9" s="18" t="str">
        <x:v>idx_data_universe_master_address</x:v>
      </x:c>
      <x:c r="C9" s="18" t="str">
        <x:v>Btree</x:v>
      </x:c>
      <x:c r="D9" s="18" t="str">
        <x:v>canonical_address</x:v>
      </x:c>
      <x:c r="E9" s="18" t="str">
        <x:v>Address-level review.</x:v>
      </x:c>
    </x:row>
    <x:row r="10" ht="48" hidden="0" customHeight="1">
      <x:c r="A10" s="18" t="str">
        <x:v>data_universe_master_map</x:v>
      </x:c>
      <x:c r="B10" s="18" t="str">
        <x:v>idx_data_universe_master_primary</x:v>
      </x:c>
      <x:c r="C10" s="18" t="str">
        <x:v>Btree</x:v>
      </x:c>
      <x:c r="D10" s="18" t="str">
        <x:v>primary_prop_id</x:v>
      </x:c>
      <x:c r="E10" s="18" t="str">
        <x:v>Reverse lookup of linked IDs.</x:v>
      </x:c>
    </x:row>
    <x:row r="11" ht="48" hidden="0" customHeight="1">
      <x:c r="A11" s="19" t="str">
        <x:v>data_universe_master_map</x:v>
      </x:c>
      <x:c r="B11" s="19" t="str">
        <x:v>idx_data_universe_master_status</x:v>
      </x:c>
      <x:c r="C11" s="19" t="str">
        <x:v>Btree</x:v>
      </x:c>
      <x:c r="D11" s="19" t="str">
        <x:v>mapping_status</x:v>
      </x:c>
      <x:c r="E11" s="19" t="str">
        <x:v>Review and workflow filters.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ba7c58a9e1964f5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55" hidden="0" customWidth="1"/>
    <x:col min="3" max="3" width="120" hidden="0" customWidth="1"/>
  </x:cols>
  <x:sheetData>
    <x:row r="1" ht="32" customHeight="1">
      <x:c r="A1" s="30" t="str">
        <x:v>Common SQL Usage</x:v>
      </x:c>
    </x:row>
    <x:row r="2" ht="34" customHeight="1">
      <x:c r="A2" s="31" t="str">
        <x:v>Use primary_prop_id only when it is non-null; the review view contains every unresolved row.</x:v>
      </x:c>
    </x:row>
    <x:row r="4" ht="28" customHeight="1">
      <x:c r="A4" s="34" t="str">
        <x:v>Use case</x:v>
      </x:c>
      <x:c r="B4" s="34" t="str">
        <x:v>Purpose</x:v>
      </x:c>
      <x:c r="C4" s="34" t="str">
        <x:v>SQL</x:v>
      </x:c>
    </x:row>
    <x:row r="5" ht="216" hidden="0" customHeight="1">
      <x:c r="A5" s="17" t="str">
        <x:v>Map one prop_id</x:v>
      </x:c>
      <x:c r="B5" s="17" t="str">
        <x:v>Read its primary and rule.</x:v>
      </x:c>
      <x:c r="C5" s="17" t="str">
        <x:v>SELECT prop_id, primary_prop_id, primary_selection_rule, mapping_status
FROM propdb_staging.data_universe_master_map
WHERE prop_id = 441355;</x:v>
      </x:c>
    </x:row>
    <x:row r="6" ht="204" hidden="0" customHeight="1">
      <x:c r="A6" s="18" t="str">
        <x:v>Safe mapped ID</x:v>
      </x:c>
      <x:c r="B6" s="18" t="str">
        <x:v>Keep unresolved original IDs.</x:v>
      </x:c>
      <x:c r="C6" s="18" t="str">
        <x:v>SELECT prop_id, COALESCE(primary_prop_id, prop_id) AS usable_prop_id, mapping_status
FROM propdb_staging.data_universe_master_map;</x:v>
      </x:c>
    </x:row>
    <x:row r="7" ht="216" hidden="0" customHeight="1">
      <x:c r="A7" s="18" t="str">
        <x:v>Automatic mappings</x:v>
      </x:c>
      <x:c r="B7" s="18" t="str">
        <x:v>Require a non-null primary.</x:v>
      </x:c>
      <x:c r="C7" s="18" t="str">
        <x:v>SELECT prop_id, primary_prop_id, primary_selection_rule
FROM propdb_staging.data_universe_master_map
WHERE primary_prop_id IS NOT NULL;</x:v>
      </x:c>
    </x:row>
    <x:row r="8" ht="156" hidden="0" customHeight="1">
      <x:c r="A8" s="18" t="str">
        <x:v>Review queue</x:v>
      </x:c>
      <x:c r="B8" s="18" t="str">
        <x:v>All unresolved rows.</x:v>
      </x:c>
      <x:c r="C8" s="18" t="str">
        <x:v>SELECT *
FROM propdb_staging.data_universe_mapping_review
ORDER BY mapping_status, canonical_address, prop_id;</x:v>
      </x:c>
    </x:row>
    <x:row r="9" ht="300" hidden="0" customHeight="1">
      <x:c r="A9" s="18" t="str">
        <x:v>Step 4 audit</x:v>
      </x:c>
      <x:c r="B9" s="18" t="str">
        <x:v>Inspect recent-import/latest-sale decisions.</x:v>
      </x:c>
      <x:c r="C9" s="18" t="str">
        <x:v>SELECT prop_id, canonical_address, primary_prop_id, latest_sale_date, latest_recent_import_at
FROM propdb_staging.data_universe_master_map
WHERE primary_selection_rule = 'recent_historical_sales_latest_sale';</x:v>
      </x:c>
    </x:row>
    <x:row r="10" ht="264" hidden="0" customHeight="1">
      <x:c r="A10" s="19" t="str">
        <x:v>Find linked IDs</x:v>
      </x:c>
      <x:c r="B10" s="19" t="str">
        <x:v>List all IDs mapped to one primary.</x:v>
      </x:c>
      <x:c r="C10" s="19" t="str">
        <x:v>SELECT prop_id, mapping_status, latest_sale_date
FROM propdb_staging.data_universe_master_map
WHERE primary_prop_id = 4482896
ORDER BY latest_sale_date DESC NULLS LAST;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3d03004f17764c5d"/>
  </x:tableParts>
</x:worksheet>
</file>